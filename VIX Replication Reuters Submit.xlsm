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olatileDependencies.xml" ContentType="application/vnd.openxmlformats-officedocument.spreadsheetml.volatileDependenc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tlack\Documents\Options\"/>
    </mc:Choice>
  </mc:AlternateContent>
  <bookViews>
    <workbookView xWindow="0" yWindow="600" windowWidth="23040" windowHeight="9405"/>
  </bookViews>
  <sheets>
    <sheet name="VIX" sheetId="2" r:id="rId1"/>
    <sheet name="Sheet2" sheetId="3" r:id="rId2"/>
    <sheet name="Sheet3" sheetId="4" r:id="rId3"/>
  </sheets>
  <functionGroups builtInGroupCount="18"/>
  <definedNames>
    <definedName name="Calc_Time">VIX!$J$7</definedName>
    <definedName name="CalcTime">#REF!</definedName>
    <definedName name="CallOp1">#REF!</definedName>
    <definedName name="CallOp2">#REF!</definedName>
    <definedName name="Contract">VIX!$J$8</definedName>
    <definedName name="Contract2">VIX!$AB$8</definedName>
    <definedName name="Ndays1">#REF!</definedName>
    <definedName name="Ndays2">#REF!</definedName>
    <definedName name="PutOp1">#REF!</definedName>
    <definedName name="PutOp2">#REF!</definedName>
    <definedName name="RF">#REF!</definedName>
    <definedName name="RiskFree">VIX!$J$6</definedName>
    <definedName name="RiskFree1">VIX!$AB$6</definedName>
    <definedName name="RiskFree2">VIX!#REF!</definedName>
    <definedName name="SpotSPX">VIX!$J$5</definedName>
    <definedName name="Strike1">#REF!</definedName>
    <definedName name="Strike2">#REF!</definedName>
    <definedName name="Threshold">VIX!$J$4</definedName>
    <definedName name="Time">VIX!$J$7</definedName>
  </definedNames>
  <calcPr calcId="152511"/>
</workbook>
</file>

<file path=xl/calcChain.xml><?xml version="1.0" encoding="utf-8"?>
<calcChain xmlns="http://schemas.openxmlformats.org/spreadsheetml/2006/main">
  <c r="AG110" i="2" l="1"/>
  <c r="AG111" i="2"/>
  <c r="AG112" i="2"/>
  <c r="AG113" i="2"/>
  <c r="AG114" i="2"/>
  <c r="AG115" i="2"/>
  <c r="AG116" i="2"/>
  <c r="AG117" i="2"/>
  <c r="AG118" i="2"/>
  <c r="AG119" i="2"/>
  <c r="AG120" i="2"/>
  <c r="AG121" i="2"/>
  <c r="AG122" i="2"/>
  <c r="AG123" i="2"/>
  <c r="AG124" i="2"/>
  <c r="AG125" i="2"/>
  <c r="AG126" i="2"/>
  <c r="AG127" i="2"/>
  <c r="AG128" i="2"/>
  <c r="AG129" i="2"/>
  <c r="AG130" i="2"/>
  <c r="AG131" i="2"/>
  <c r="AG132" i="2"/>
  <c r="AG133" i="2"/>
  <c r="AG134" i="2"/>
  <c r="AG135" i="2"/>
  <c r="AG136" i="2"/>
  <c r="AG137" i="2"/>
  <c r="AG138" i="2"/>
  <c r="AG139" i="2"/>
  <c r="AG140" i="2"/>
  <c r="AG141" i="2"/>
  <c r="AG142" i="2"/>
  <c r="AG143" i="2"/>
  <c r="AG144" i="2"/>
  <c r="AG145" i="2"/>
  <c r="AG146" i="2"/>
  <c r="AG147" i="2"/>
  <c r="AG148" i="2"/>
  <c r="AG149" i="2"/>
  <c r="AG150" i="2"/>
  <c r="AG151" i="2"/>
  <c r="AG152" i="2"/>
  <c r="AG153" i="2"/>
  <c r="AG154" i="2"/>
  <c r="AG155" i="2"/>
  <c r="AG156" i="2"/>
  <c r="AG157" i="2"/>
  <c r="AG158" i="2"/>
  <c r="AG159" i="2"/>
  <c r="AG160" i="2"/>
  <c r="AG161" i="2"/>
  <c r="AG162" i="2"/>
  <c r="AG163" i="2"/>
  <c r="AG164" i="2"/>
  <c r="AG165" i="2"/>
  <c r="AG166" i="2"/>
  <c r="AG167" i="2"/>
  <c r="AG168" i="2"/>
  <c r="AG169" i="2"/>
  <c r="AG170" i="2"/>
  <c r="AG171" i="2"/>
  <c r="AG172" i="2"/>
  <c r="AG173" i="2"/>
  <c r="AG174" i="2"/>
  <c r="AG175" i="2"/>
  <c r="AG176" i="2"/>
  <c r="AG177" i="2"/>
  <c r="AG178" i="2"/>
  <c r="AG179" i="2"/>
  <c r="AG180" i="2"/>
  <c r="AG181" i="2"/>
  <c r="AG182" i="2"/>
  <c r="AG183" i="2"/>
  <c r="AG184" i="2"/>
  <c r="AG185" i="2"/>
  <c r="AG186" i="2"/>
  <c r="AG187" i="2"/>
  <c r="AG188" i="2"/>
  <c r="AG189" i="2"/>
  <c r="AG190" i="2"/>
  <c r="AG191" i="2"/>
  <c r="AG192" i="2"/>
  <c r="AG193" i="2"/>
  <c r="AG194" i="2"/>
  <c r="AG195" i="2"/>
  <c r="AG196" i="2"/>
  <c r="AG197" i="2"/>
  <c r="AG198" i="2"/>
  <c r="AG199" i="2"/>
  <c r="AG200" i="2"/>
  <c r="AG201" i="2"/>
  <c r="AG202" i="2"/>
  <c r="AG203" i="2"/>
  <c r="AG204" i="2"/>
  <c r="AG205" i="2"/>
  <c r="AG206" i="2"/>
  <c r="AG207" i="2"/>
  <c r="AG208" i="2"/>
  <c r="AG209" i="2"/>
  <c r="AG210" i="2"/>
  <c r="AG211" i="2"/>
  <c r="AG212" i="2"/>
  <c r="AG213" i="2"/>
  <c r="AG214" i="2"/>
  <c r="AG215" i="2"/>
  <c r="AG216" i="2"/>
  <c r="AG217" i="2"/>
  <c r="AG218" i="2"/>
  <c r="AG219" i="2"/>
  <c r="AG220" i="2"/>
  <c r="AG221" i="2"/>
  <c r="AG222" i="2"/>
  <c r="AG223" i="2"/>
  <c r="AG224" i="2"/>
  <c r="AG225" i="2"/>
  <c r="AG226" i="2"/>
  <c r="AG227" i="2"/>
  <c r="AG228" i="2"/>
  <c r="AG229" i="2"/>
  <c r="AG230" i="2"/>
  <c r="AG231" i="2"/>
  <c r="AG232" i="2"/>
  <c r="AG233" i="2"/>
  <c r="AG234" i="2"/>
  <c r="AG235" i="2"/>
  <c r="AG236" i="2"/>
  <c r="AG237" i="2"/>
  <c r="AG238" i="2"/>
  <c r="AG239" i="2"/>
  <c r="AG240" i="2"/>
  <c r="AG241" i="2"/>
  <c r="AG242" i="2"/>
  <c r="AG243" i="2"/>
  <c r="AG244" i="2"/>
  <c r="AG245" i="2"/>
  <c r="AG246" i="2"/>
  <c r="AG247" i="2"/>
  <c r="AG248" i="2"/>
  <c r="AG249" i="2"/>
  <c r="AG250" i="2"/>
  <c r="AG251" i="2"/>
  <c r="AG252" i="2"/>
  <c r="AG253" i="2"/>
  <c r="AG254" i="2"/>
  <c r="AG255" i="2"/>
  <c r="AG256" i="2"/>
  <c r="AG257" i="2"/>
  <c r="AG258" i="2"/>
  <c r="AG259" i="2"/>
  <c r="AG260" i="2"/>
  <c r="AG261" i="2"/>
  <c r="AG262" i="2"/>
  <c r="AG263" i="2"/>
  <c r="AG264" i="2"/>
  <c r="AG265" i="2"/>
  <c r="AG266" i="2"/>
  <c r="AG267" i="2"/>
  <c r="AG268" i="2"/>
  <c r="AG269" i="2"/>
  <c r="AG270" i="2"/>
  <c r="AG271" i="2"/>
  <c r="AG272" i="2"/>
  <c r="AG273" i="2"/>
  <c r="AG274" i="2"/>
  <c r="AG275" i="2"/>
  <c r="AG276" i="2"/>
  <c r="AG277" i="2"/>
  <c r="AG278" i="2"/>
  <c r="AG279" i="2"/>
  <c r="AG280" i="2"/>
  <c r="AG281" i="2"/>
  <c r="AG282" i="2"/>
  <c r="AG283" i="2"/>
  <c r="AG284" i="2"/>
  <c r="AG285" i="2"/>
  <c r="AG286" i="2"/>
  <c r="AG287" i="2"/>
  <c r="AG288" i="2"/>
  <c r="AG289" i="2"/>
  <c r="AG290" i="2"/>
  <c r="AG291" i="2"/>
  <c r="AG292" i="2"/>
  <c r="AG293" i="2"/>
  <c r="AG294" i="2"/>
  <c r="AG295" i="2"/>
  <c r="AG296" i="2"/>
  <c r="AG297" i="2"/>
  <c r="AG298" i="2"/>
  <c r="AG299" i="2"/>
  <c r="AG300" i="2"/>
  <c r="AG301" i="2"/>
  <c r="AG302" i="2"/>
  <c r="AG303" i="2"/>
  <c r="AG304" i="2"/>
  <c r="AG305" i="2"/>
  <c r="AG306" i="2"/>
  <c r="AG307" i="2"/>
  <c r="AG308" i="2"/>
  <c r="AG309" i="2"/>
  <c r="AG310" i="2"/>
  <c r="AG311" i="2"/>
  <c r="AG312" i="2"/>
  <c r="AG313" i="2"/>
  <c r="AG314" i="2"/>
  <c r="AG315" i="2"/>
  <c r="AG316" i="2"/>
  <c r="AG317" i="2"/>
  <c r="AG318" i="2"/>
  <c r="AG319" i="2"/>
  <c r="AG320" i="2"/>
  <c r="AG321" i="2"/>
  <c r="AG322" i="2"/>
  <c r="AG323" i="2"/>
  <c r="AG324" i="2"/>
  <c r="AG325" i="2"/>
  <c r="AG326" i="2"/>
  <c r="AG327" i="2"/>
  <c r="AG328" i="2"/>
  <c r="AG329" i="2"/>
  <c r="AG330" i="2"/>
  <c r="AG331" i="2"/>
  <c r="AG332" i="2"/>
  <c r="AG333" i="2"/>
  <c r="AG334" i="2"/>
  <c r="AG335" i="2"/>
  <c r="AG336" i="2"/>
  <c r="AG337" i="2"/>
  <c r="AG338" i="2"/>
  <c r="AG339" i="2"/>
  <c r="AG340" i="2"/>
  <c r="AG341" i="2"/>
  <c r="AG342" i="2"/>
  <c r="AG343" i="2"/>
  <c r="AG344" i="2"/>
  <c r="AG345" i="2"/>
  <c r="AG346" i="2"/>
  <c r="AG347" i="2"/>
  <c r="AG348" i="2"/>
  <c r="AG349" i="2"/>
  <c r="AG350" i="2"/>
  <c r="AG351" i="2"/>
  <c r="AG352" i="2"/>
  <c r="AG353" i="2"/>
  <c r="AG354" i="2"/>
  <c r="AG355" i="2"/>
  <c r="AG356" i="2"/>
  <c r="AG357" i="2"/>
  <c r="AG358" i="2"/>
  <c r="AG359" i="2"/>
  <c r="AG360" i="2"/>
  <c r="AG361" i="2"/>
  <c r="AG362" i="2"/>
  <c r="AG363" i="2"/>
  <c r="AG364" i="2"/>
  <c r="AG365" i="2"/>
  <c r="AG366" i="2"/>
  <c r="AG367" i="2"/>
  <c r="AG368" i="2"/>
  <c r="AG369" i="2"/>
  <c r="AG370" i="2"/>
  <c r="AG371" i="2"/>
  <c r="AG372" i="2"/>
  <c r="AG373" i="2"/>
  <c r="AG374" i="2"/>
  <c r="AG375" i="2"/>
  <c r="AG376" i="2"/>
  <c r="AG377" i="2"/>
  <c r="AG378" i="2"/>
  <c r="AG379" i="2"/>
  <c r="AG380" i="2"/>
  <c r="AG381" i="2"/>
  <c r="AG382" i="2"/>
  <c r="AG383" i="2"/>
  <c r="AG384" i="2"/>
  <c r="AG385" i="2"/>
  <c r="AG386" i="2"/>
  <c r="AG387" i="2"/>
  <c r="AG388" i="2"/>
  <c r="AG389" i="2"/>
  <c r="AG390" i="2"/>
  <c r="AG391" i="2"/>
  <c r="AG392" i="2"/>
  <c r="AG393" i="2"/>
  <c r="AG394" i="2"/>
  <c r="AG395" i="2"/>
  <c r="AG396" i="2"/>
  <c r="AG397" i="2"/>
  <c r="AG398" i="2"/>
  <c r="AG399" i="2"/>
  <c r="AG400" i="2"/>
  <c r="AG401" i="2"/>
  <c r="AG402" i="2"/>
  <c r="AG403" i="2"/>
  <c r="AG404" i="2"/>
  <c r="AG405" i="2"/>
  <c r="AG406" i="2"/>
  <c r="AG407" i="2"/>
  <c r="AG408" i="2"/>
  <c r="AG409" i="2"/>
  <c r="AG410" i="2"/>
  <c r="AG411" i="2"/>
  <c r="AG412" i="2"/>
  <c r="AG413" i="2"/>
  <c r="AG414" i="2"/>
  <c r="AG415" i="2"/>
  <c r="AG416" i="2"/>
  <c r="AG417" i="2"/>
  <c r="AG418" i="2"/>
  <c r="AG419" i="2"/>
  <c r="AG420" i="2"/>
  <c r="AG421" i="2"/>
  <c r="AG422" i="2"/>
  <c r="AG423" i="2"/>
  <c r="AG424" i="2"/>
  <c r="AG425" i="2"/>
  <c r="AG426" i="2"/>
  <c r="AG427" i="2"/>
  <c r="AG428" i="2"/>
  <c r="AG429" i="2"/>
  <c r="AG430" i="2"/>
  <c r="AG431" i="2"/>
  <c r="AG432" i="2"/>
  <c r="AG433" i="2"/>
  <c r="AG434" i="2"/>
  <c r="AG435" i="2"/>
  <c r="AG436" i="2"/>
  <c r="AG437" i="2"/>
  <c r="AG438" i="2"/>
  <c r="AG439" i="2"/>
  <c r="AG440" i="2"/>
  <c r="AG441" i="2"/>
  <c r="AG442" i="2"/>
  <c r="AG443" i="2"/>
  <c r="AG444" i="2"/>
  <c r="AG445" i="2"/>
  <c r="AG446" i="2"/>
  <c r="AG447" i="2"/>
  <c r="AG448" i="2"/>
  <c r="AG449" i="2"/>
  <c r="AG450" i="2"/>
  <c r="AG451" i="2"/>
  <c r="AG452" i="2"/>
  <c r="AG453" i="2"/>
  <c r="AG454" i="2"/>
  <c r="AG455" i="2"/>
  <c r="AG456" i="2"/>
  <c r="AG457" i="2"/>
  <c r="AG458" i="2"/>
  <c r="AG459" i="2"/>
  <c r="AG460" i="2"/>
  <c r="AG461" i="2"/>
  <c r="AG462" i="2"/>
  <c r="AG463" i="2"/>
  <c r="AG464" i="2"/>
  <c r="AG465" i="2"/>
  <c r="AG466" i="2"/>
  <c r="AG467" i="2"/>
  <c r="AG468" i="2"/>
  <c r="AG469" i="2"/>
  <c r="AG470" i="2"/>
  <c r="AG471" i="2"/>
  <c r="AG472" i="2"/>
  <c r="AG473" i="2"/>
  <c r="AG474" i="2"/>
  <c r="AG475" i="2"/>
  <c r="AG476" i="2"/>
  <c r="AG477" i="2"/>
  <c r="AG478" i="2"/>
  <c r="AG479" i="2"/>
  <c r="AG480" i="2"/>
  <c r="AG481" i="2"/>
  <c r="AG482" i="2"/>
  <c r="AG483" i="2"/>
  <c r="AG484" i="2"/>
  <c r="AG485" i="2"/>
  <c r="AG486" i="2"/>
  <c r="AG487" i="2"/>
  <c r="AG488" i="2"/>
  <c r="AG489" i="2"/>
  <c r="AG490" i="2"/>
  <c r="AG491" i="2"/>
  <c r="AG492" i="2"/>
  <c r="AG493" i="2"/>
  <c r="AG494" i="2"/>
  <c r="AG495" i="2"/>
  <c r="AG496" i="2"/>
  <c r="AG497" i="2"/>
  <c r="AG498" i="2"/>
  <c r="AG499" i="2"/>
  <c r="AG500" i="2"/>
  <c r="AA110" i="2"/>
  <c r="AA111" i="2"/>
  <c r="AA112" i="2"/>
  <c r="AA113" i="2"/>
  <c r="AA114" i="2"/>
  <c r="AA115" i="2"/>
  <c r="AA116" i="2"/>
  <c r="AA117" i="2"/>
  <c r="AA118" i="2"/>
  <c r="AA119" i="2"/>
  <c r="AA120" i="2"/>
  <c r="AA121" i="2"/>
  <c r="AA122" i="2"/>
  <c r="AA123" i="2"/>
  <c r="AA124" i="2"/>
  <c r="AA125" i="2"/>
  <c r="AA126" i="2"/>
  <c r="AA127" i="2"/>
  <c r="AA128" i="2"/>
  <c r="AA129" i="2"/>
  <c r="AA130" i="2"/>
  <c r="AA131" i="2"/>
  <c r="AA132" i="2"/>
  <c r="AA133" i="2"/>
  <c r="AA134" i="2"/>
  <c r="AA135" i="2"/>
  <c r="AA136" i="2"/>
  <c r="AA137" i="2"/>
  <c r="AA138" i="2"/>
  <c r="AA139" i="2"/>
  <c r="AA140" i="2"/>
  <c r="AA141" i="2"/>
  <c r="AA142" i="2"/>
  <c r="AA143" i="2"/>
  <c r="AA144" i="2"/>
  <c r="AA145" i="2"/>
  <c r="AA146" i="2"/>
  <c r="AA147" i="2"/>
  <c r="AA148" i="2"/>
  <c r="AA149" i="2"/>
  <c r="AA150" i="2"/>
  <c r="AA151" i="2"/>
  <c r="AA152" i="2"/>
  <c r="AA153" i="2"/>
  <c r="AA154" i="2"/>
  <c r="AA155" i="2"/>
  <c r="AA156" i="2"/>
  <c r="AA157" i="2"/>
  <c r="AA158" i="2"/>
  <c r="AA159" i="2"/>
  <c r="AA160" i="2"/>
  <c r="AA161" i="2"/>
  <c r="AA162" i="2"/>
  <c r="AA163" i="2"/>
  <c r="AA164" i="2"/>
  <c r="AA165" i="2"/>
  <c r="AA166" i="2"/>
  <c r="AA167" i="2"/>
  <c r="AA168" i="2"/>
  <c r="AA169" i="2"/>
  <c r="AA170" i="2"/>
  <c r="AA171" i="2"/>
  <c r="AA172" i="2"/>
  <c r="AA173" i="2"/>
  <c r="AA174" i="2"/>
  <c r="AA175" i="2"/>
  <c r="AA176" i="2"/>
  <c r="AA177" i="2"/>
  <c r="AA178" i="2"/>
  <c r="AA179" i="2"/>
  <c r="AA180" i="2"/>
  <c r="AA181" i="2"/>
  <c r="AA182" i="2"/>
  <c r="AA183" i="2"/>
  <c r="AA184" i="2"/>
  <c r="AA185" i="2"/>
  <c r="AA186" i="2"/>
  <c r="AA187" i="2"/>
  <c r="AA188" i="2"/>
  <c r="AA189" i="2"/>
  <c r="AA190" i="2"/>
  <c r="AA191" i="2"/>
  <c r="AA192" i="2"/>
  <c r="AA193" i="2"/>
  <c r="AA194" i="2"/>
  <c r="AA195" i="2"/>
  <c r="AA196" i="2"/>
  <c r="AA197" i="2"/>
  <c r="AA198" i="2"/>
  <c r="AA199" i="2"/>
  <c r="AA200" i="2"/>
  <c r="AA201" i="2"/>
  <c r="AA202" i="2"/>
  <c r="AA203" i="2"/>
  <c r="AA204" i="2"/>
  <c r="AA205" i="2"/>
  <c r="AA206" i="2"/>
  <c r="AA207" i="2"/>
  <c r="AA208" i="2"/>
  <c r="AA209" i="2"/>
  <c r="AA210" i="2"/>
  <c r="AA211" i="2"/>
  <c r="AA212" i="2"/>
  <c r="AA213" i="2"/>
  <c r="AA214" i="2"/>
  <c r="AA215" i="2"/>
  <c r="AA216" i="2"/>
  <c r="AA217" i="2"/>
  <c r="AA218" i="2"/>
  <c r="AA219" i="2"/>
  <c r="AA220" i="2"/>
  <c r="AA221" i="2"/>
  <c r="AA222" i="2"/>
  <c r="AA223" i="2"/>
  <c r="AA224" i="2"/>
  <c r="AA225" i="2"/>
  <c r="AA226" i="2"/>
  <c r="AA227" i="2"/>
  <c r="AA228" i="2"/>
  <c r="AA229" i="2"/>
  <c r="AA230" i="2"/>
  <c r="AA231" i="2"/>
  <c r="AA232" i="2"/>
  <c r="AA233" i="2"/>
  <c r="AA234" i="2"/>
  <c r="AA235" i="2"/>
  <c r="AA236" i="2"/>
  <c r="AA237" i="2"/>
  <c r="AA238" i="2"/>
  <c r="AA239" i="2"/>
  <c r="AA240" i="2"/>
  <c r="AA241" i="2"/>
  <c r="AA242" i="2"/>
  <c r="AA243" i="2"/>
  <c r="AA244" i="2"/>
  <c r="AA245" i="2"/>
  <c r="AA246" i="2"/>
  <c r="AA247" i="2"/>
  <c r="AA248" i="2"/>
  <c r="AA249" i="2"/>
  <c r="AA250" i="2"/>
  <c r="AA251" i="2"/>
  <c r="AA252" i="2"/>
  <c r="AA253" i="2"/>
  <c r="AA254" i="2"/>
  <c r="AA255" i="2"/>
  <c r="AA256" i="2"/>
  <c r="AA257" i="2"/>
  <c r="AA258" i="2"/>
  <c r="AA259" i="2"/>
  <c r="AA260" i="2"/>
  <c r="AA261" i="2"/>
  <c r="AA262" i="2"/>
  <c r="AA263" i="2"/>
  <c r="AA264" i="2"/>
  <c r="AA265" i="2"/>
  <c r="AA266" i="2"/>
  <c r="AA267" i="2"/>
  <c r="AA268" i="2"/>
  <c r="AA269" i="2"/>
  <c r="AA270" i="2"/>
  <c r="AA271" i="2"/>
  <c r="AA272" i="2"/>
  <c r="AA273" i="2"/>
  <c r="AA274" i="2"/>
  <c r="AA275" i="2"/>
  <c r="AA276" i="2"/>
  <c r="AA277" i="2"/>
  <c r="AA278" i="2"/>
  <c r="AA279" i="2"/>
  <c r="AA280" i="2"/>
  <c r="AA281" i="2"/>
  <c r="AA282" i="2"/>
  <c r="AA283" i="2"/>
  <c r="AA284" i="2"/>
  <c r="AA285" i="2"/>
  <c r="AA286" i="2"/>
  <c r="AA287" i="2"/>
  <c r="AA288" i="2"/>
  <c r="AA289" i="2"/>
  <c r="AA290" i="2"/>
  <c r="AA291" i="2"/>
  <c r="AA292" i="2"/>
  <c r="AA293" i="2"/>
  <c r="AA294" i="2"/>
  <c r="AA295" i="2"/>
  <c r="AA296" i="2"/>
  <c r="AA297" i="2"/>
  <c r="AA298" i="2"/>
  <c r="AA299" i="2"/>
  <c r="AA300" i="2"/>
  <c r="AA301" i="2"/>
  <c r="AA302" i="2"/>
  <c r="AA303" i="2"/>
  <c r="AA304" i="2"/>
  <c r="AA305" i="2"/>
  <c r="AA306" i="2"/>
  <c r="AA307" i="2"/>
  <c r="AA308" i="2"/>
  <c r="AA309" i="2"/>
  <c r="AA310" i="2"/>
  <c r="AA311" i="2"/>
  <c r="AA312" i="2"/>
  <c r="AA313" i="2"/>
  <c r="AA314" i="2"/>
  <c r="AA315" i="2"/>
  <c r="AA316" i="2"/>
  <c r="AA317" i="2"/>
  <c r="AA318" i="2"/>
  <c r="AA319" i="2"/>
  <c r="AA320" i="2"/>
  <c r="AA321" i="2"/>
  <c r="AA322" i="2"/>
  <c r="AA323" i="2"/>
  <c r="AA324" i="2"/>
  <c r="AA325" i="2"/>
  <c r="AA326" i="2"/>
  <c r="AA327" i="2"/>
  <c r="AA328" i="2"/>
  <c r="AA329" i="2"/>
  <c r="AA330" i="2"/>
  <c r="AA331" i="2"/>
  <c r="AA332" i="2"/>
  <c r="AA333" i="2"/>
  <c r="AA334" i="2"/>
  <c r="AA335" i="2"/>
  <c r="AA336" i="2"/>
  <c r="AA337" i="2"/>
  <c r="AA338" i="2"/>
  <c r="AA339" i="2"/>
  <c r="AA340" i="2"/>
  <c r="AA341" i="2"/>
  <c r="AA342" i="2"/>
  <c r="AA343" i="2"/>
  <c r="AA344" i="2"/>
  <c r="AA345" i="2"/>
  <c r="AA346" i="2"/>
  <c r="AA347" i="2"/>
  <c r="AA348" i="2"/>
  <c r="AA349" i="2"/>
  <c r="AA350" i="2"/>
  <c r="AA351" i="2"/>
  <c r="AA352" i="2"/>
  <c r="AA353" i="2"/>
  <c r="AA354" i="2"/>
  <c r="AA355" i="2"/>
  <c r="AA356" i="2"/>
  <c r="AA357" i="2"/>
  <c r="AA358" i="2"/>
  <c r="AA359" i="2"/>
  <c r="AA360" i="2"/>
  <c r="AA361" i="2"/>
  <c r="AA362" i="2"/>
  <c r="AA363" i="2"/>
  <c r="AA364" i="2"/>
  <c r="AA365" i="2"/>
  <c r="AA366" i="2"/>
  <c r="AA367" i="2"/>
  <c r="AA368" i="2"/>
  <c r="AA369" i="2"/>
  <c r="AA370" i="2"/>
  <c r="AA371" i="2"/>
  <c r="AA372" i="2"/>
  <c r="AA373" i="2"/>
  <c r="AA374" i="2"/>
  <c r="AA375" i="2"/>
  <c r="AA376" i="2"/>
  <c r="AA377" i="2"/>
  <c r="AA378" i="2"/>
  <c r="AA379" i="2"/>
  <c r="AA380" i="2"/>
  <c r="AA381" i="2"/>
  <c r="AA382" i="2"/>
  <c r="AA383" i="2"/>
  <c r="AA384" i="2"/>
  <c r="AA385" i="2"/>
  <c r="AA386" i="2"/>
  <c r="AA387" i="2"/>
  <c r="AA388" i="2"/>
  <c r="AA389" i="2"/>
  <c r="AA390" i="2"/>
  <c r="AA391" i="2"/>
  <c r="AA392" i="2"/>
  <c r="AA393" i="2"/>
  <c r="AA394" i="2"/>
  <c r="AA395" i="2"/>
  <c r="AA396" i="2"/>
  <c r="AA397" i="2"/>
  <c r="AA398" i="2"/>
  <c r="AA399" i="2"/>
  <c r="AA400" i="2"/>
  <c r="AA401" i="2"/>
  <c r="AA402" i="2"/>
  <c r="AA403" i="2"/>
  <c r="AA404" i="2"/>
  <c r="AA405" i="2"/>
  <c r="AA406" i="2"/>
  <c r="AA407" i="2"/>
  <c r="AA408" i="2"/>
  <c r="AA409" i="2"/>
  <c r="AA410" i="2"/>
  <c r="AA411" i="2"/>
  <c r="AA412" i="2"/>
  <c r="AA413" i="2"/>
  <c r="AA414" i="2"/>
  <c r="AA415" i="2"/>
  <c r="AA416" i="2"/>
  <c r="AA417" i="2"/>
  <c r="AA418" i="2"/>
  <c r="AA419" i="2"/>
  <c r="AA420" i="2"/>
  <c r="AA421" i="2"/>
  <c r="AA422" i="2"/>
  <c r="AA423" i="2"/>
  <c r="AA424" i="2"/>
  <c r="AA425" i="2"/>
  <c r="AA426" i="2"/>
  <c r="AA427" i="2"/>
  <c r="AA428" i="2"/>
  <c r="AA429" i="2"/>
  <c r="AA430" i="2"/>
  <c r="AA431" i="2"/>
  <c r="AA432" i="2"/>
  <c r="AA433" i="2"/>
  <c r="AA434" i="2"/>
  <c r="AA435" i="2"/>
  <c r="AA436" i="2"/>
  <c r="AA437" i="2"/>
  <c r="AA438" i="2"/>
  <c r="AA439" i="2"/>
  <c r="AA440" i="2"/>
  <c r="AA441" i="2"/>
  <c r="AA442" i="2"/>
  <c r="AA443" i="2"/>
  <c r="AA444" i="2"/>
  <c r="AA445" i="2"/>
  <c r="AA446" i="2"/>
  <c r="AA447" i="2"/>
  <c r="AA448" i="2"/>
  <c r="AA449" i="2"/>
  <c r="AA450" i="2"/>
  <c r="AA451" i="2"/>
  <c r="AA452" i="2"/>
  <c r="AA453" i="2"/>
  <c r="AA454" i="2"/>
  <c r="AA455" i="2"/>
  <c r="AA456" i="2"/>
  <c r="AA457" i="2"/>
  <c r="AA458" i="2"/>
  <c r="AA459" i="2"/>
  <c r="AA460" i="2"/>
  <c r="AA461" i="2"/>
  <c r="AA462" i="2"/>
  <c r="AA463" i="2"/>
  <c r="AA464" i="2"/>
  <c r="AA465" i="2"/>
  <c r="AA466" i="2"/>
  <c r="AA467" i="2"/>
  <c r="AA468" i="2"/>
  <c r="AA469" i="2"/>
  <c r="AA470" i="2"/>
  <c r="AA471" i="2"/>
  <c r="AA472" i="2"/>
  <c r="AA473" i="2"/>
  <c r="AA474" i="2"/>
  <c r="AA475" i="2"/>
  <c r="AA476" i="2"/>
  <c r="AA477" i="2"/>
  <c r="AA478" i="2"/>
  <c r="AA479" i="2"/>
  <c r="AA480" i="2"/>
  <c r="AA481" i="2"/>
  <c r="AA482" i="2"/>
  <c r="AA483" i="2"/>
  <c r="AA484" i="2"/>
  <c r="AA485" i="2"/>
  <c r="AA486" i="2"/>
  <c r="AA487" i="2"/>
  <c r="AA488" i="2"/>
  <c r="AA489" i="2"/>
  <c r="AA490" i="2"/>
  <c r="AA491" i="2"/>
  <c r="AA492" i="2"/>
  <c r="AA493" i="2"/>
  <c r="AA494" i="2"/>
  <c r="AA495" i="2"/>
  <c r="AA496" i="2"/>
  <c r="AA497" i="2"/>
  <c r="AA498" i="2"/>
  <c r="AA499" i="2"/>
  <c r="AA500" i="2"/>
  <c r="Y107" i="2"/>
  <c r="Y108" i="2"/>
  <c r="Y109" i="2"/>
  <c r="Y110" i="2"/>
  <c r="Y111" i="2"/>
  <c r="Y112" i="2"/>
  <c r="Y113" i="2"/>
  <c r="Y114" i="2"/>
  <c r="Y115" i="2"/>
  <c r="Y116" i="2"/>
  <c r="Y117" i="2"/>
  <c r="Y118" i="2"/>
  <c r="Y119" i="2"/>
  <c r="Y120" i="2"/>
  <c r="Y121" i="2"/>
  <c r="Y122" i="2"/>
  <c r="Y123" i="2"/>
  <c r="Y124" i="2"/>
  <c r="Y125" i="2"/>
  <c r="Y126" i="2"/>
  <c r="Y127" i="2"/>
  <c r="Y128" i="2"/>
  <c r="Y129" i="2"/>
  <c r="Y130" i="2"/>
  <c r="Y131" i="2"/>
  <c r="Y132" i="2"/>
  <c r="Y133" i="2"/>
  <c r="Y134" i="2"/>
  <c r="Y135" i="2"/>
  <c r="Y136" i="2"/>
  <c r="Y137" i="2"/>
  <c r="Y138" i="2"/>
  <c r="Y139" i="2"/>
  <c r="Y140" i="2"/>
  <c r="Y141" i="2"/>
  <c r="Y142" i="2"/>
  <c r="Y143" i="2"/>
  <c r="Y144" i="2"/>
  <c r="Y145" i="2"/>
  <c r="Y146" i="2"/>
  <c r="Y147" i="2"/>
  <c r="Y148" i="2"/>
  <c r="Y149" i="2"/>
  <c r="Y150" i="2"/>
  <c r="Y151" i="2"/>
  <c r="Y152" i="2"/>
  <c r="Y153" i="2"/>
  <c r="Y154" i="2"/>
  <c r="Y155" i="2"/>
  <c r="Y156" i="2"/>
  <c r="Y157" i="2"/>
  <c r="Y158" i="2"/>
  <c r="Y159" i="2"/>
  <c r="Y160" i="2"/>
  <c r="Y161" i="2"/>
  <c r="Y162" i="2"/>
  <c r="Y163" i="2"/>
  <c r="Y164" i="2"/>
  <c r="Y165" i="2"/>
  <c r="Y166" i="2"/>
  <c r="Y167" i="2"/>
  <c r="Y168" i="2"/>
  <c r="Y169" i="2"/>
  <c r="Y170" i="2"/>
  <c r="Y171" i="2"/>
  <c r="Y172" i="2"/>
  <c r="Y173" i="2"/>
  <c r="Y174" i="2"/>
  <c r="Y175" i="2"/>
  <c r="Y176" i="2"/>
  <c r="Y177" i="2"/>
  <c r="Y178" i="2"/>
  <c r="Y179" i="2"/>
  <c r="Y180" i="2"/>
  <c r="Y181" i="2"/>
  <c r="Y182" i="2"/>
  <c r="Y183" i="2"/>
  <c r="Y184" i="2"/>
  <c r="Y185" i="2"/>
  <c r="Y186" i="2"/>
  <c r="Y187" i="2"/>
  <c r="Y188" i="2"/>
  <c r="Y189" i="2"/>
  <c r="Y190" i="2"/>
  <c r="Y191" i="2"/>
  <c r="Y192" i="2"/>
  <c r="Y193" i="2"/>
  <c r="Y194" i="2"/>
  <c r="Y195" i="2"/>
  <c r="Y196" i="2"/>
  <c r="Y197" i="2"/>
  <c r="Y198" i="2"/>
  <c r="Y199" i="2"/>
  <c r="Y200" i="2"/>
  <c r="Y201" i="2"/>
  <c r="Y202" i="2"/>
  <c r="Y203" i="2"/>
  <c r="Y204" i="2"/>
  <c r="Y205" i="2"/>
  <c r="Y206" i="2"/>
  <c r="Y207" i="2"/>
  <c r="Y208" i="2"/>
  <c r="Y209" i="2"/>
  <c r="Y210" i="2"/>
  <c r="Y211" i="2"/>
  <c r="Y212" i="2"/>
  <c r="Y213" i="2"/>
  <c r="Y214" i="2"/>
  <c r="Y215" i="2"/>
  <c r="Y216" i="2"/>
  <c r="Y217" i="2"/>
  <c r="Y218" i="2"/>
  <c r="Y219" i="2"/>
  <c r="Y220" i="2"/>
  <c r="Y221" i="2"/>
  <c r="Y222" i="2"/>
  <c r="Y223" i="2"/>
  <c r="Y224" i="2"/>
  <c r="Y225" i="2"/>
  <c r="Y226" i="2"/>
  <c r="Y227" i="2"/>
  <c r="Y228" i="2"/>
  <c r="Y229" i="2"/>
  <c r="Y230" i="2"/>
  <c r="Y231" i="2"/>
  <c r="Y232" i="2"/>
  <c r="Y233" i="2"/>
  <c r="Y234" i="2"/>
  <c r="Y235" i="2"/>
  <c r="Y236" i="2"/>
  <c r="Y237" i="2"/>
  <c r="Y238" i="2"/>
  <c r="Y239" i="2"/>
  <c r="Y240" i="2"/>
  <c r="Y241" i="2"/>
  <c r="Y242" i="2"/>
  <c r="Y243" i="2"/>
  <c r="Y244" i="2"/>
  <c r="Y245" i="2"/>
  <c r="Y246" i="2"/>
  <c r="Y247" i="2"/>
  <c r="Y248" i="2"/>
  <c r="Y249" i="2"/>
  <c r="Y250" i="2"/>
  <c r="Y251" i="2"/>
  <c r="Y252" i="2"/>
  <c r="Y253" i="2"/>
  <c r="Y254" i="2"/>
  <c r="Y255" i="2"/>
  <c r="Y256" i="2"/>
  <c r="Y257" i="2"/>
  <c r="Y258" i="2"/>
  <c r="Y259" i="2"/>
  <c r="Y260" i="2"/>
  <c r="Y261" i="2"/>
  <c r="Y262" i="2"/>
  <c r="Y263" i="2"/>
  <c r="Y264" i="2"/>
  <c r="Y265" i="2"/>
  <c r="Y266" i="2"/>
  <c r="Y267" i="2"/>
  <c r="Y268" i="2"/>
  <c r="Y269" i="2"/>
  <c r="Y270" i="2"/>
  <c r="Y271" i="2"/>
  <c r="Y272" i="2"/>
  <c r="Y273" i="2"/>
  <c r="Y274" i="2"/>
  <c r="Y275" i="2"/>
  <c r="Y276" i="2"/>
  <c r="Y277" i="2"/>
  <c r="Y278" i="2"/>
  <c r="Y279" i="2"/>
  <c r="Y280" i="2"/>
  <c r="Y281" i="2"/>
  <c r="Y282" i="2"/>
  <c r="Y283" i="2"/>
  <c r="Y284" i="2"/>
  <c r="Y285" i="2"/>
  <c r="Y286" i="2"/>
  <c r="Y287" i="2"/>
  <c r="Y288" i="2"/>
  <c r="Y289" i="2"/>
  <c r="Y290" i="2"/>
  <c r="Y291" i="2"/>
  <c r="Y292" i="2"/>
  <c r="Y293" i="2"/>
  <c r="Y294" i="2"/>
  <c r="Y295" i="2"/>
  <c r="Y296" i="2"/>
  <c r="Y297" i="2"/>
  <c r="Y298" i="2"/>
  <c r="Y299" i="2"/>
  <c r="Y300" i="2"/>
  <c r="Y301" i="2"/>
  <c r="Y302" i="2"/>
  <c r="Y303" i="2"/>
  <c r="Y304" i="2"/>
  <c r="Y305" i="2"/>
  <c r="Y306" i="2"/>
  <c r="Y307" i="2"/>
  <c r="Y308" i="2"/>
  <c r="Y309" i="2"/>
  <c r="Y310" i="2"/>
  <c r="Y311" i="2"/>
  <c r="Y312" i="2"/>
  <c r="Y313" i="2"/>
  <c r="Y314" i="2"/>
  <c r="Y315" i="2"/>
  <c r="Y316" i="2"/>
  <c r="Y317" i="2"/>
  <c r="Y318" i="2"/>
  <c r="Y319" i="2"/>
  <c r="Y320" i="2"/>
  <c r="Y321" i="2"/>
  <c r="Y322" i="2"/>
  <c r="Y323" i="2"/>
  <c r="Y324" i="2"/>
  <c r="Y325" i="2"/>
  <c r="Y326" i="2"/>
  <c r="Y327" i="2"/>
  <c r="Y328" i="2"/>
  <c r="Y329" i="2"/>
  <c r="Y330" i="2"/>
  <c r="Y331" i="2"/>
  <c r="Y332" i="2"/>
  <c r="Y333" i="2"/>
  <c r="Y334" i="2"/>
  <c r="Y335" i="2"/>
  <c r="Y336" i="2"/>
  <c r="Y337" i="2"/>
  <c r="Y338" i="2"/>
  <c r="Y339" i="2"/>
  <c r="Y340" i="2"/>
  <c r="Y341" i="2"/>
  <c r="Y342" i="2"/>
  <c r="Y343" i="2"/>
  <c r="Y344" i="2"/>
  <c r="Y345" i="2"/>
  <c r="Y346" i="2"/>
  <c r="Y347" i="2"/>
  <c r="Y348" i="2"/>
  <c r="Y349" i="2"/>
  <c r="Y350" i="2"/>
  <c r="Y351" i="2"/>
  <c r="Y352" i="2"/>
  <c r="Y353" i="2"/>
  <c r="Y354" i="2"/>
  <c r="Y355" i="2"/>
  <c r="Y356" i="2"/>
  <c r="Y357" i="2"/>
  <c r="Y358" i="2"/>
  <c r="Y359" i="2"/>
  <c r="Y360" i="2"/>
  <c r="Y361" i="2"/>
  <c r="Y362" i="2"/>
  <c r="Y363" i="2"/>
  <c r="Y364" i="2"/>
  <c r="Y365" i="2"/>
  <c r="Y366" i="2"/>
  <c r="Y367" i="2"/>
  <c r="Y368" i="2"/>
  <c r="Y369" i="2"/>
  <c r="Y370" i="2"/>
  <c r="Y371" i="2"/>
  <c r="Y372" i="2"/>
  <c r="Y373" i="2"/>
  <c r="Y374" i="2"/>
  <c r="Y375" i="2"/>
  <c r="Y376" i="2"/>
  <c r="Y377" i="2"/>
  <c r="Y378" i="2"/>
  <c r="Y379" i="2"/>
  <c r="Y380" i="2"/>
  <c r="Y381" i="2"/>
  <c r="Y382" i="2"/>
  <c r="Y383" i="2"/>
  <c r="Y384" i="2"/>
  <c r="Y385" i="2"/>
  <c r="Y386" i="2"/>
  <c r="Y387" i="2"/>
  <c r="Y388" i="2"/>
  <c r="Y389" i="2"/>
  <c r="Y390" i="2"/>
  <c r="Y391" i="2"/>
  <c r="Y392" i="2"/>
  <c r="Y393" i="2"/>
  <c r="Y394" i="2"/>
  <c r="Y395" i="2"/>
  <c r="Y396" i="2"/>
  <c r="Y397" i="2"/>
  <c r="Y398" i="2"/>
  <c r="Y399" i="2"/>
  <c r="Y400" i="2"/>
  <c r="Y401" i="2"/>
  <c r="Y402" i="2"/>
  <c r="Y403" i="2"/>
  <c r="Y404" i="2"/>
  <c r="Y405" i="2"/>
  <c r="Y406" i="2"/>
  <c r="Y407" i="2"/>
  <c r="Y408" i="2"/>
  <c r="Y409" i="2"/>
  <c r="Y410" i="2"/>
  <c r="Y411" i="2"/>
  <c r="Y412" i="2"/>
  <c r="Y413" i="2"/>
  <c r="Y414" i="2"/>
  <c r="Y415" i="2"/>
  <c r="Y416" i="2"/>
  <c r="Y417" i="2"/>
  <c r="Y418" i="2"/>
  <c r="Y419" i="2"/>
  <c r="Y420" i="2"/>
  <c r="Y421" i="2"/>
  <c r="Y422" i="2"/>
  <c r="Y423" i="2"/>
  <c r="Y424" i="2"/>
  <c r="Y425" i="2"/>
  <c r="Y426" i="2"/>
  <c r="Y427" i="2"/>
  <c r="Y428" i="2"/>
  <c r="Y429" i="2"/>
  <c r="Y430" i="2"/>
  <c r="Y431" i="2"/>
  <c r="Y432" i="2"/>
  <c r="Y433" i="2"/>
  <c r="Y434" i="2"/>
  <c r="Y435" i="2"/>
  <c r="Y436" i="2"/>
  <c r="Y437" i="2"/>
  <c r="Y438" i="2"/>
  <c r="Y439" i="2"/>
  <c r="Y440" i="2"/>
  <c r="Y441" i="2"/>
  <c r="Y442" i="2"/>
  <c r="Y443" i="2"/>
  <c r="Y444" i="2"/>
  <c r="Y445" i="2"/>
  <c r="Y446" i="2"/>
  <c r="Y447" i="2"/>
  <c r="Y448" i="2"/>
  <c r="Y449" i="2"/>
  <c r="Y450" i="2"/>
  <c r="Y451" i="2"/>
  <c r="Y452" i="2"/>
  <c r="Y453" i="2"/>
  <c r="Y454" i="2"/>
  <c r="Y455" i="2"/>
  <c r="Y456" i="2"/>
  <c r="Y457" i="2"/>
  <c r="Y458" i="2"/>
  <c r="Y459" i="2"/>
  <c r="Y460" i="2"/>
  <c r="Y461" i="2"/>
  <c r="Y462" i="2"/>
  <c r="Y463" i="2"/>
  <c r="Y464" i="2"/>
  <c r="Y465" i="2"/>
  <c r="Y466" i="2"/>
  <c r="Y467" i="2"/>
  <c r="Y468" i="2"/>
  <c r="Y469" i="2"/>
  <c r="Y470" i="2"/>
  <c r="Y471" i="2"/>
  <c r="Y472" i="2"/>
  <c r="Y473" i="2"/>
  <c r="Y474" i="2"/>
  <c r="Y475" i="2"/>
  <c r="Y476" i="2"/>
  <c r="Y477" i="2"/>
  <c r="Y478" i="2"/>
  <c r="Y479" i="2"/>
  <c r="Y480" i="2"/>
  <c r="Y481" i="2"/>
  <c r="Y482" i="2"/>
  <c r="Y483" i="2"/>
  <c r="Y484" i="2"/>
  <c r="Y485" i="2"/>
  <c r="Y486" i="2"/>
  <c r="Y487" i="2"/>
  <c r="Y488" i="2"/>
  <c r="Y489" i="2"/>
  <c r="Y490" i="2"/>
  <c r="Y491" i="2"/>
  <c r="Y492" i="2"/>
  <c r="Y493" i="2"/>
  <c r="Y494" i="2"/>
  <c r="Y495" i="2"/>
  <c r="Y496" i="2"/>
  <c r="Y497" i="2"/>
  <c r="Y498" i="2"/>
  <c r="Y499" i="2"/>
  <c r="Y500" i="2"/>
  <c r="O415" i="2"/>
  <c r="O416" i="2"/>
  <c r="O417" i="2"/>
  <c r="O418" i="2"/>
  <c r="O419" i="2"/>
  <c r="O420" i="2"/>
  <c r="O421" i="2"/>
  <c r="O422" i="2"/>
  <c r="O423" i="2"/>
  <c r="O424" i="2"/>
  <c r="O425" i="2"/>
  <c r="O426" i="2"/>
  <c r="O427" i="2"/>
  <c r="O428" i="2"/>
  <c r="O429" i="2"/>
  <c r="O430" i="2"/>
  <c r="O431" i="2"/>
  <c r="O432" i="2"/>
  <c r="O433" i="2"/>
  <c r="O434" i="2"/>
  <c r="O435" i="2"/>
  <c r="O436" i="2"/>
  <c r="O437" i="2"/>
  <c r="O438" i="2"/>
  <c r="O439" i="2"/>
  <c r="O440" i="2"/>
  <c r="O441" i="2"/>
  <c r="O442" i="2"/>
  <c r="O443" i="2"/>
  <c r="O444" i="2"/>
  <c r="O445" i="2"/>
  <c r="O446" i="2"/>
  <c r="O447" i="2"/>
  <c r="O448" i="2"/>
  <c r="O449" i="2"/>
  <c r="O450" i="2"/>
  <c r="O451" i="2"/>
  <c r="O452" i="2"/>
  <c r="O453" i="2"/>
  <c r="O454" i="2"/>
  <c r="O455" i="2"/>
  <c r="O456" i="2"/>
  <c r="O457" i="2"/>
  <c r="O458" i="2"/>
  <c r="O459" i="2"/>
  <c r="O460" i="2"/>
  <c r="O461" i="2"/>
  <c r="O462" i="2"/>
  <c r="O463" i="2"/>
  <c r="O464" i="2"/>
  <c r="O465" i="2"/>
  <c r="O466" i="2"/>
  <c r="O467" i="2"/>
  <c r="O468" i="2"/>
  <c r="O469" i="2"/>
  <c r="O470" i="2"/>
  <c r="O471" i="2"/>
  <c r="O472" i="2"/>
  <c r="O473" i="2"/>
  <c r="O474" i="2"/>
  <c r="O475" i="2"/>
  <c r="O476" i="2"/>
  <c r="O477" i="2"/>
  <c r="O478" i="2"/>
  <c r="O479" i="2"/>
  <c r="O480" i="2"/>
  <c r="O481" i="2"/>
  <c r="O482" i="2"/>
  <c r="O483" i="2"/>
  <c r="O484" i="2"/>
  <c r="O485" i="2"/>
  <c r="O486" i="2"/>
  <c r="O487" i="2"/>
  <c r="O488" i="2"/>
  <c r="O489" i="2"/>
  <c r="O490" i="2"/>
  <c r="O491" i="2"/>
  <c r="O492" i="2"/>
  <c r="O493" i="2"/>
  <c r="O494" i="2"/>
  <c r="O495" i="2"/>
  <c r="O496" i="2"/>
  <c r="O497" i="2"/>
  <c r="O498" i="2"/>
  <c r="O499" i="2"/>
  <c r="O500" i="2"/>
  <c r="I353" i="2"/>
  <c r="I354" i="2"/>
  <c r="I355" i="2"/>
  <c r="I356" i="2"/>
  <c r="I357" i="2"/>
  <c r="I358" i="2"/>
  <c r="I359" i="2"/>
  <c r="I360" i="2"/>
  <c r="I361" i="2"/>
  <c r="I362" i="2"/>
  <c r="I363" i="2"/>
  <c r="I364" i="2"/>
  <c r="I365" i="2"/>
  <c r="I366" i="2"/>
  <c r="I367" i="2"/>
  <c r="I368" i="2"/>
  <c r="I369" i="2"/>
  <c r="I370" i="2"/>
  <c r="I371" i="2"/>
  <c r="I372" i="2"/>
  <c r="I373" i="2"/>
  <c r="I374" i="2"/>
  <c r="I375" i="2"/>
  <c r="I376" i="2"/>
  <c r="I377" i="2"/>
  <c r="I378" i="2"/>
  <c r="I379" i="2"/>
  <c r="I380" i="2"/>
  <c r="I381" i="2"/>
  <c r="I382" i="2"/>
  <c r="I383" i="2"/>
  <c r="I384" i="2"/>
  <c r="I385" i="2"/>
  <c r="I386" i="2"/>
  <c r="I387" i="2"/>
  <c r="I388" i="2"/>
  <c r="I389" i="2"/>
  <c r="I390" i="2"/>
  <c r="I391" i="2"/>
  <c r="I392" i="2"/>
  <c r="I393" i="2"/>
  <c r="I394" i="2"/>
  <c r="I395" i="2"/>
  <c r="I396" i="2"/>
  <c r="I397" i="2"/>
  <c r="I398" i="2"/>
  <c r="I399" i="2"/>
  <c r="I400" i="2"/>
  <c r="I401" i="2"/>
  <c r="I402" i="2"/>
  <c r="I403" i="2"/>
  <c r="I404" i="2"/>
  <c r="I405" i="2"/>
  <c r="I406" i="2"/>
  <c r="I407" i="2"/>
  <c r="I408" i="2"/>
  <c r="I409" i="2"/>
  <c r="I410" i="2"/>
  <c r="I411" i="2"/>
  <c r="I412" i="2"/>
  <c r="I413" i="2"/>
  <c r="I414" i="2"/>
  <c r="I415" i="2"/>
  <c r="I416" i="2"/>
  <c r="I417" i="2"/>
  <c r="I418" i="2"/>
  <c r="I419" i="2"/>
  <c r="I420" i="2"/>
  <c r="I421" i="2"/>
  <c r="I422" i="2"/>
  <c r="I423" i="2"/>
  <c r="I424" i="2"/>
  <c r="I425" i="2"/>
  <c r="I426" i="2"/>
  <c r="I427" i="2"/>
  <c r="I428" i="2"/>
  <c r="I429" i="2"/>
  <c r="I430" i="2"/>
  <c r="I431" i="2"/>
  <c r="I432" i="2"/>
  <c r="I433" i="2"/>
  <c r="I434" i="2"/>
  <c r="I435" i="2"/>
  <c r="I436" i="2"/>
  <c r="I437" i="2"/>
  <c r="I438" i="2"/>
  <c r="I439" i="2"/>
  <c r="I440" i="2"/>
  <c r="I441" i="2"/>
  <c r="I442" i="2"/>
  <c r="I443" i="2"/>
  <c r="I444" i="2"/>
  <c r="I445" i="2"/>
  <c r="I446" i="2"/>
  <c r="I447" i="2"/>
  <c r="I448" i="2"/>
  <c r="I449" i="2"/>
  <c r="I450" i="2"/>
  <c r="I451" i="2"/>
  <c r="I452" i="2"/>
  <c r="I453" i="2"/>
  <c r="I454" i="2"/>
  <c r="I455" i="2"/>
  <c r="I456" i="2"/>
  <c r="I457" i="2"/>
  <c r="I458" i="2"/>
  <c r="I459" i="2"/>
  <c r="I460" i="2"/>
  <c r="I461" i="2"/>
  <c r="I462" i="2"/>
  <c r="I463" i="2"/>
  <c r="I464" i="2"/>
  <c r="I465" i="2"/>
  <c r="I466" i="2"/>
  <c r="I467" i="2"/>
  <c r="I468" i="2"/>
  <c r="I469" i="2"/>
  <c r="I470" i="2"/>
  <c r="I471" i="2"/>
  <c r="I472" i="2"/>
  <c r="I473" i="2"/>
  <c r="I474" i="2"/>
  <c r="I475" i="2"/>
  <c r="I476" i="2"/>
  <c r="I477" i="2"/>
  <c r="I478" i="2"/>
  <c r="I479" i="2"/>
  <c r="I480" i="2"/>
  <c r="I481" i="2"/>
  <c r="I482" i="2"/>
  <c r="I483" i="2"/>
  <c r="I484" i="2"/>
  <c r="I485" i="2"/>
  <c r="I486" i="2"/>
  <c r="I487" i="2"/>
  <c r="I488" i="2"/>
  <c r="I489" i="2"/>
  <c r="I490" i="2"/>
  <c r="I491" i="2"/>
  <c r="I492" i="2"/>
  <c r="I493" i="2"/>
  <c r="I494" i="2"/>
  <c r="I495" i="2"/>
  <c r="I496" i="2"/>
  <c r="I497" i="2"/>
  <c r="I498" i="2"/>
  <c r="I499" i="2"/>
  <c r="I500" i="2"/>
  <c r="G361" i="2"/>
  <c r="G362" i="2"/>
  <c r="G363" i="2"/>
  <c r="G364" i="2"/>
  <c r="G365" i="2"/>
  <c r="G366" i="2"/>
  <c r="G367" i="2"/>
  <c r="G368" i="2"/>
  <c r="G369" i="2"/>
  <c r="G370" i="2"/>
  <c r="G371" i="2"/>
  <c r="G372" i="2"/>
  <c r="G373" i="2"/>
  <c r="G374" i="2"/>
  <c r="G375" i="2"/>
  <c r="G376" i="2"/>
  <c r="G377" i="2"/>
  <c r="G378" i="2"/>
  <c r="G379" i="2"/>
  <c r="G380" i="2"/>
  <c r="G381" i="2"/>
  <c r="G382" i="2"/>
  <c r="G383" i="2"/>
  <c r="G384" i="2"/>
  <c r="G385" i="2"/>
  <c r="G386" i="2"/>
  <c r="G387" i="2"/>
  <c r="G388" i="2"/>
  <c r="G389" i="2"/>
  <c r="G390" i="2"/>
  <c r="G391" i="2"/>
  <c r="G392" i="2"/>
  <c r="G393" i="2"/>
  <c r="G394" i="2"/>
  <c r="G395" i="2"/>
  <c r="G396" i="2"/>
  <c r="G397" i="2"/>
  <c r="G398" i="2"/>
  <c r="G399" i="2"/>
  <c r="G400" i="2"/>
  <c r="G401" i="2"/>
  <c r="G402" i="2"/>
  <c r="G403" i="2"/>
  <c r="G404" i="2"/>
  <c r="G405" i="2"/>
  <c r="G406" i="2"/>
  <c r="G407" i="2"/>
  <c r="G408" i="2"/>
  <c r="G409" i="2"/>
  <c r="G410" i="2"/>
  <c r="G411" i="2"/>
  <c r="G412" i="2"/>
  <c r="G413" i="2"/>
  <c r="G414" i="2"/>
  <c r="G415" i="2"/>
  <c r="G416" i="2"/>
  <c r="G417" i="2"/>
  <c r="G418" i="2"/>
  <c r="G419" i="2"/>
  <c r="G420" i="2"/>
  <c r="G421" i="2"/>
  <c r="G422" i="2"/>
  <c r="G423" i="2"/>
  <c r="G424" i="2"/>
  <c r="G425" i="2"/>
  <c r="G426" i="2"/>
  <c r="G427" i="2"/>
  <c r="G428" i="2"/>
  <c r="G429" i="2"/>
  <c r="G430" i="2"/>
  <c r="G431" i="2"/>
  <c r="G432" i="2"/>
  <c r="G433" i="2"/>
  <c r="G434" i="2"/>
  <c r="G435" i="2"/>
  <c r="G436" i="2"/>
  <c r="G437" i="2"/>
  <c r="G438" i="2"/>
  <c r="G439" i="2"/>
  <c r="G440" i="2"/>
  <c r="G441" i="2"/>
  <c r="G442" i="2"/>
  <c r="G443" i="2"/>
  <c r="G444" i="2"/>
  <c r="G445" i="2"/>
  <c r="G446" i="2"/>
  <c r="G447" i="2"/>
  <c r="G448" i="2"/>
  <c r="G449" i="2"/>
  <c r="G450" i="2"/>
  <c r="G451" i="2"/>
  <c r="G452" i="2"/>
  <c r="G453" i="2"/>
  <c r="G454" i="2"/>
  <c r="G455" i="2"/>
  <c r="G456" i="2"/>
  <c r="G457" i="2"/>
  <c r="G458" i="2"/>
  <c r="G459" i="2"/>
  <c r="G460" i="2"/>
  <c r="G461" i="2"/>
  <c r="G462" i="2"/>
  <c r="G463" i="2"/>
  <c r="G464" i="2"/>
  <c r="G465" i="2"/>
  <c r="G466" i="2"/>
  <c r="G467" i="2"/>
  <c r="G468" i="2"/>
  <c r="G469" i="2"/>
  <c r="G470" i="2"/>
  <c r="G471" i="2"/>
  <c r="G472" i="2"/>
  <c r="G473" i="2"/>
  <c r="G474" i="2"/>
  <c r="G475" i="2"/>
  <c r="G476" i="2"/>
  <c r="G477" i="2"/>
  <c r="G478" i="2"/>
  <c r="G479" i="2"/>
  <c r="G480" i="2"/>
  <c r="G481" i="2"/>
  <c r="G482" i="2"/>
  <c r="G483" i="2"/>
  <c r="G484" i="2"/>
  <c r="G485" i="2"/>
  <c r="G486" i="2"/>
  <c r="G487" i="2"/>
  <c r="G488" i="2"/>
  <c r="G489" i="2"/>
  <c r="G490" i="2"/>
  <c r="G491" i="2"/>
  <c r="G492" i="2"/>
  <c r="G493" i="2"/>
  <c r="G494" i="2"/>
  <c r="G495" i="2"/>
  <c r="G496" i="2"/>
  <c r="G497" i="2"/>
  <c r="G498" i="2"/>
  <c r="G499" i="2"/>
  <c r="G500" i="2"/>
  <c r="J7" i="2" l="1"/>
  <c r="C2" i="3"/>
  <c r="S3" i="3"/>
  <c r="P5" i="3"/>
  <c r="D4" i="2" l="1"/>
  <c r="AB8" i="2"/>
  <c r="J8" i="2"/>
  <c r="F7" i="2"/>
  <c r="AG18" i="2" l="1"/>
  <c r="AG19" i="2" s="1"/>
  <c r="AG20" i="2" s="1"/>
  <c r="AG21" i="2" s="1"/>
  <c r="AG22" i="2" s="1"/>
  <c r="AG23" i="2" s="1"/>
  <c r="AG24" i="2" s="1"/>
  <c r="AG25" i="2" s="1"/>
  <c r="AG26" i="2" s="1"/>
  <c r="AG27" i="2" s="1"/>
  <c r="AG28" i="2" s="1"/>
  <c r="AG29" i="2" s="1"/>
  <c r="AG30" i="2" s="1"/>
  <c r="AG31" i="2" s="1"/>
  <c r="AG32" i="2" s="1"/>
  <c r="AG33" i="2" s="1"/>
  <c r="AG34" i="2" s="1"/>
  <c r="AG35" i="2" s="1"/>
  <c r="AG36" i="2" s="1"/>
  <c r="AG37" i="2" s="1"/>
  <c r="AG38" i="2" s="1"/>
  <c r="AG39" i="2" s="1"/>
  <c r="AG40" i="2" s="1"/>
  <c r="AG41" i="2" s="1"/>
  <c r="AG42" i="2" s="1"/>
  <c r="AG43" i="2" s="1"/>
  <c r="AG44" i="2" s="1"/>
  <c r="AG45" i="2" s="1"/>
  <c r="AG46" i="2" s="1"/>
  <c r="AG47" i="2" s="1"/>
  <c r="AG48" i="2" s="1"/>
  <c r="AG49" i="2" s="1"/>
  <c r="AG50" i="2" s="1"/>
  <c r="AG51" i="2" s="1"/>
  <c r="AG52" i="2" s="1"/>
  <c r="AG53" i="2" s="1"/>
  <c r="AG54" i="2" s="1"/>
  <c r="AG55" i="2" s="1"/>
  <c r="AG56" i="2" s="1"/>
  <c r="AG57" i="2" s="1"/>
  <c r="AG58" i="2" s="1"/>
  <c r="AG59" i="2" s="1"/>
  <c r="AG60" i="2" s="1"/>
  <c r="AG61" i="2" s="1"/>
  <c r="AG62" i="2" s="1"/>
  <c r="AG63" i="2" s="1"/>
  <c r="AG64" i="2" s="1"/>
  <c r="AG65" i="2" s="1"/>
  <c r="AG66" i="2" s="1"/>
  <c r="AG67" i="2" s="1"/>
  <c r="AG68" i="2" s="1"/>
  <c r="AG69" i="2" s="1"/>
  <c r="AG70" i="2" s="1"/>
  <c r="AG71" i="2" s="1"/>
  <c r="AG72" i="2" s="1"/>
  <c r="AG73" i="2" s="1"/>
  <c r="AG74" i="2" s="1"/>
  <c r="AG75" i="2" s="1"/>
  <c r="AG76" i="2" s="1"/>
  <c r="AG77" i="2" s="1"/>
  <c r="AG78" i="2" s="1"/>
  <c r="AG79" i="2" s="1"/>
  <c r="AG80" i="2" s="1"/>
  <c r="AG81" i="2" s="1"/>
  <c r="AG82" i="2" s="1"/>
  <c r="AG83" i="2" s="1"/>
  <c r="AG84" i="2" s="1"/>
  <c r="AG85" i="2" s="1"/>
  <c r="AG86" i="2" s="1"/>
  <c r="AG87" i="2" s="1"/>
  <c r="AG88" i="2" s="1"/>
  <c r="AG89" i="2" s="1"/>
  <c r="AG90" i="2" s="1"/>
  <c r="AG91" i="2" s="1"/>
  <c r="AG92" i="2" s="1"/>
  <c r="AG93" i="2" s="1"/>
  <c r="AG94" i="2" s="1"/>
  <c r="AG95" i="2" s="1"/>
  <c r="AG96" i="2" s="1"/>
  <c r="AG97" i="2" s="1"/>
  <c r="AG98" i="2" s="1"/>
  <c r="AG99" i="2" s="1"/>
  <c r="AG100" i="2" s="1"/>
  <c r="AG101" i="2" s="1"/>
  <c r="AG102" i="2" s="1"/>
  <c r="AG103" i="2" s="1"/>
  <c r="AG104" i="2" s="1"/>
  <c r="AG105" i="2" s="1"/>
  <c r="AG106" i="2" s="1"/>
  <c r="AG107" i="2" s="1"/>
  <c r="AG108" i="2" s="1"/>
  <c r="AG109" i="2" s="1"/>
  <c r="Y18" i="2"/>
  <c r="Y19" i="2" s="1"/>
  <c r="Y20" i="2" s="1"/>
  <c r="Y21" i="2" s="1"/>
  <c r="Y22" i="2" s="1"/>
  <c r="Y23" i="2" s="1"/>
  <c r="Y24" i="2" s="1"/>
  <c r="Y25" i="2" s="1"/>
  <c r="Y26" i="2" s="1"/>
  <c r="Y27" i="2" s="1"/>
  <c r="Y28" i="2" s="1"/>
  <c r="Y29" i="2" s="1"/>
  <c r="Y30" i="2" s="1"/>
  <c r="Y31" i="2" s="1"/>
  <c r="Y32" i="2" s="1"/>
  <c r="Y33" i="2" s="1"/>
  <c r="Y34" i="2" s="1"/>
  <c r="Y35" i="2" s="1"/>
  <c r="Y36" i="2" s="1"/>
  <c r="Y37" i="2" s="1"/>
  <c r="Y38" i="2" s="1"/>
  <c r="Y39" i="2" s="1"/>
  <c r="Y40" i="2" s="1"/>
  <c r="Y41" i="2" s="1"/>
  <c r="Y42" i="2" s="1"/>
  <c r="Y43" i="2" s="1"/>
  <c r="Y44" i="2" s="1"/>
  <c r="Y45" i="2" s="1"/>
  <c r="Y46" i="2" s="1"/>
  <c r="Y47" i="2" s="1"/>
  <c r="Y48" i="2" s="1"/>
  <c r="Y49" i="2" s="1"/>
  <c r="Y50" i="2" s="1"/>
  <c r="Y51" i="2" s="1"/>
  <c r="Y52" i="2" s="1"/>
  <c r="Y53" i="2" s="1"/>
  <c r="Y54" i="2" s="1"/>
  <c r="Y55" i="2" s="1"/>
  <c r="Y56" i="2" s="1"/>
  <c r="Y57" i="2" s="1"/>
  <c r="Y58" i="2" s="1"/>
  <c r="Y59" i="2" s="1"/>
  <c r="Y60" i="2" s="1"/>
  <c r="Y61" i="2" s="1"/>
  <c r="Y62" i="2" s="1"/>
  <c r="Y63" i="2" s="1"/>
  <c r="Y64" i="2" s="1"/>
  <c r="Y65" i="2" s="1"/>
  <c r="Y66" i="2" s="1"/>
  <c r="Y67" i="2" s="1"/>
  <c r="Y68" i="2" s="1"/>
  <c r="Y69" i="2" s="1"/>
  <c r="Y70" i="2" s="1"/>
  <c r="Y71" i="2" s="1"/>
  <c r="Y72" i="2" s="1"/>
  <c r="Y73" i="2" s="1"/>
  <c r="Y74" i="2" s="1"/>
  <c r="Y75" i="2" s="1"/>
  <c r="Y76" i="2" s="1"/>
  <c r="Y77" i="2" s="1"/>
  <c r="Y78" i="2" s="1"/>
  <c r="Y79" i="2" s="1"/>
  <c r="Y80" i="2" s="1"/>
  <c r="Y81" i="2" s="1"/>
  <c r="Y82" i="2" s="1"/>
  <c r="Y83" i="2" s="1"/>
  <c r="Y84" i="2" s="1"/>
  <c r="Y85" i="2" s="1"/>
  <c r="Y86" i="2" s="1"/>
  <c r="Y87" i="2" s="1"/>
  <c r="Y88" i="2" s="1"/>
  <c r="Y89" i="2" s="1"/>
  <c r="Y90" i="2" s="1"/>
  <c r="Y91" i="2" s="1"/>
  <c r="Y92" i="2" s="1"/>
  <c r="Y93" i="2" s="1"/>
  <c r="Y94" i="2" s="1"/>
  <c r="Y95" i="2" s="1"/>
  <c r="Y96" i="2" s="1"/>
  <c r="Y97" i="2" s="1"/>
  <c r="Y98" i="2" s="1"/>
  <c r="Y99" i="2" s="1"/>
  <c r="Y100" i="2" s="1"/>
  <c r="Y101" i="2" s="1"/>
  <c r="Y102" i="2" s="1"/>
  <c r="Y103" i="2" s="1"/>
  <c r="Y104" i="2" s="1"/>
  <c r="Y105" i="2" s="1"/>
  <c r="Y106" i="2" s="1"/>
  <c r="AG17" i="2"/>
  <c r="Y17" i="2"/>
  <c r="V4" i="2"/>
  <c r="L16" i="2"/>
  <c r="AD16" i="2"/>
  <c r="D16" i="2"/>
  <c r="V16" i="2"/>
  <c r="O18" i="2" l="1"/>
  <c r="G18" i="2"/>
  <c r="B14" i="3"/>
  <c r="B15" i="3" s="1" a="1"/>
  <c r="B15" i="3" s="1"/>
  <c r="B10" i="3"/>
  <c r="B7" i="3"/>
  <c r="J5" i="2"/>
  <c r="D14" i="3" l="1"/>
  <c r="D15" i="3"/>
  <c r="B11" i="3"/>
  <c r="B13" i="3"/>
  <c r="B12" i="3"/>
  <c r="G19" i="2"/>
  <c r="O19" i="2"/>
  <c r="O20" i="2" s="1"/>
  <c r="O21" i="2" s="1"/>
  <c r="O22" i="2" s="1"/>
  <c r="O23" i="2" s="1"/>
  <c r="O24" i="2" s="1"/>
  <c r="O25" i="2" s="1"/>
  <c r="O26" i="2" s="1"/>
  <c r="O27" i="2" s="1"/>
  <c r="O28" i="2" s="1"/>
  <c r="O29" i="2" s="1"/>
  <c r="O30" i="2" s="1"/>
  <c r="O31" i="2" s="1"/>
  <c r="O32" i="2" s="1"/>
  <c r="O33" i="2" s="1"/>
  <c r="O34" i="2" s="1"/>
  <c r="O35" i="2" s="1"/>
  <c r="O36" i="2" s="1"/>
  <c r="O37" i="2" s="1"/>
  <c r="O38" i="2" s="1"/>
  <c r="O39" i="2" s="1"/>
  <c r="O40" i="2" s="1"/>
  <c r="B16" i="3" a="1"/>
  <c r="B16" i="3" s="1"/>
  <c r="D16" i="3" s="1"/>
  <c r="C15" i="3"/>
  <c r="A15" i="3" s="1"/>
  <c r="B2" i="3"/>
  <c r="I350" i="2" l="1"/>
  <c r="I349" i="2"/>
  <c r="G20" i="2"/>
  <c r="O41" i="2"/>
  <c r="O17" i="2"/>
  <c r="G17" i="2"/>
  <c r="C16" i="3"/>
  <c r="A16" i="3" s="1"/>
  <c r="B17" i="3" a="1"/>
  <c r="B17" i="3" s="1"/>
  <c r="D17" i="3" s="1"/>
  <c r="I352" i="2" l="1"/>
  <c r="I351" i="2"/>
  <c r="G21" i="2"/>
  <c r="O42" i="2"/>
  <c r="B18" i="3" a="1"/>
  <c r="B18" i="3" s="1"/>
  <c r="D18" i="3" s="1"/>
  <c r="C17" i="3"/>
  <c r="A17" i="3" s="1"/>
  <c r="I347" i="2" l="1"/>
  <c r="I348" i="2"/>
  <c r="G22" i="2"/>
  <c r="O43" i="2"/>
  <c r="C18" i="3"/>
  <c r="A18" i="3" s="1"/>
  <c r="B19" i="3" a="1"/>
  <c r="B19" i="3" s="1"/>
  <c r="D19" i="3" s="1"/>
  <c r="G23" i="2" l="1"/>
  <c r="O44" i="2"/>
  <c r="B20" i="3" a="1"/>
  <c r="B20" i="3" s="1"/>
  <c r="D20" i="3" s="1"/>
  <c r="C19" i="3"/>
  <c r="A19" i="3" s="1"/>
  <c r="I345" i="2" l="1"/>
  <c r="I346" i="2"/>
  <c r="G24" i="2"/>
  <c r="O45" i="2"/>
  <c r="C20" i="3"/>
  <c r="A20" i="3" s="1"/>
  <c r="B21" i="3" a="1"/>
  <c r="B21" i="3" s="1"/>
  <c r="D21" i="3" s="1"/>
  <c r="G25" i="2" l="1"/>
  <c r="O46" i="2"/>
  <c r="B22" i="3" a="1"/>
  <c r="B22" i="3" s="1"/>
  <c r="D22" i="3" s="1"/>
  <c r="C21" i="3"/>
  <c r="A21" i="3" s="1"/>
  <c r="I344" i="2" l="1"/>
  <c r="I343" i="2"/>
  <c r="G26" i="2"/>
  <c r="O47" i="2"/>
  <c r="C22" i="3"/>
  <c r="A22" i="3" s="1"/>
  <c r="B23" i="3" a="1"/>
  <c r="B23" i="3" s="1"/>
  <c r="D23" i="3" s="1"/>
  <c r="G27" i="2" l="1"/>
  <c r="O48" i="2"/>
  <c r="B24" i="3" a="1"/>
  <c r="B24" i="3" s="1"/>
  <c r="D24" i="3" s="1"/>
  <c r="C23" i="3"/>
  <c r="A23" i="3" s="1"/>
  <c r="I342" i="2" l="1"/>
  <c r="I341" i="2"/>
  <c r="G28" i="2"/>
  <c r="O49" i="2"/>
  <c r="C24" i="3"/>
  <c r="A24" i="3" s="1"/>
  <c r="B25" i="3" a="1"/>
  <c r="B25" i="3" s="1"/>
  <c r="D25" i="3" l="1"/>
  <c r="B26" i="3" a="1"/>
  <c r="B26" i="3" s="1"/>
  <c r="D26" i="3" s="1"/>
  <c r="C25" i="3"/>
  <c r="A25" i="3" s="1"/>
  <c r="G29" i="2"/>
  <c r="O50" i="2"/>
  <c r="I339" i="2" l="1"/>
  <c r="I340" i="2"/>
  <c r="C26" i="3"/>
  <c r="A26" i="3" s="1"/>
  <c r="B27" i="3" a="1"/>
  <c r="B27" i="3" s="1"/>
  <c r="D27" i="3" s="1"/>
  <c r="G30" i="2"/>
  <c r="O51" i="2"/>
  <c r="C27" i="3" l="1"/>
  <c r="A27" i="3" s="1"/>
  <c r="B28" i="3" a="1"/>
  <c r="B28" i="3" s="1"/>
  <c r="G31" i="2"/>
  <c r="O52" i="2"/>
  <c r="I337" i="2" l="1"/>
  <c r="I338" i="2"/>
  <c r="B29" i="3" a="1"/>
  <c r="B29" i="3" s="1"/>
  <c r="D28" i="3"/>
  <c r="C28" i="3"/>
  <c r="A28" i="3" s="1"/>
  <c r="G32" i="2"/>
  <c r="O53" i="2"/>
  <c r="D29" i="3" l="1"/>
  <c r="B30" i="3" a="1"/>
  <c r="B30" i="3" s="1"/>
  <c r="C12" i="3" a="1"/>
  <c r="C12" i="3" s="1"/>
  <c r="C13" i="2" s="1"/>
  <c r="C13" i="3" a="1"/>
  <c r="C13" i="3" s="1"/>
  <c r="C29" i="3"/>
  <c r="A29" i="3" s="1"/>
  <c r="G33" i="2"/>
  <c r="O54" i="2"/>
  <c r="C16" i="2"/>
  <c r="I336" i="2" l="1"/>
  <c r="I335" i="2"/>
  <c r="U13" i="2"/>
  <c r="AC13" i="2" s="1"/>
  <c r="N8" i="3" a="1"/>
  <c r="N8" i="3" s="1"/>
  <c r="AB6" i="2" s="1"/>
  <c r="N7" i="3" a="1"/>
  <c r="N7" i="3" s="1"/>
  <c r="J6" i="2" s="1"/>
  <c r="C30" i="3"/>
  <c r="A30" i="3" s="1"/>
  <c r="B31" i="3" a="1"/>
  <c r="B31" i="3" s="1"/>
  <c r="D30" i="3"/>
  <c r="G34" i="2"/>
  <c r="O55" i="2"/>
  <c r="U16" i="2"/>
  <c r="AC16" i="2"/>
  <c r="V5" i="2" l="1"/>
  <c r="V6" i="2" s="1"/>
  <c r="D5" i="2"/>
  <c r="D6" i="2" s="1"/>
  <c r="K13" i="2"/>
  <c r="C31" i="3"/>
  <c r="A31" i="3" s="1"/>
  <c r="D31" i="3"/>
  <c r="G35" i="2"/>
  <c r="O56" i="2"/>
  <c r="D10" i="2"/>
  <c r="V10" i="2"/>
  <c r="K16" i="2"/>
  <c r="I334" i="2" l="1"/>
  <c r="I333" i="2"/>
  <c r="M5" i="2"/>
  <c r="M4" i="2"/>
  <c r="G36" i="2"/>
  <c r="O57" i="2"/>
  <c r="G37" i="2" l="1"/>
  <c r="O58" i="2"/>
  <c r="I331" i="2" l="1"/>
  <c r="I332" i="2"/>
  <c r="G38" i="2"/>
  <c r="O59" i="2"/>
  <c r="G39" i="2" l="1"/>
  <c r="O60" i="2"/>
  <c r="I329" i="2" l="1"/>
  <c r="I330" i="2"/>
  <c r="G40" i="2"/>
  <c r="O61" i="2"/>
  <c r="G41" i="2" l="1"/>
  <c r="O62" i="2"/>
  <c r="I328" i="2" l="1"/>
  <c r="I327" i="2"/>
  <c r="G42" i="2"/>
  <c r="O63" i="2"/>
  <c r="G43" i="2" l="1"/>
  <c r="I326" i="2" s="1"/>
  <c r="O64" i="2"/>
  <c r="G44" i="2" l="1"/>
  <c r="O65" i="2"/>
  <c r="I324" i="2" l="1"/>
  <c r="I325" i="2"/>
  <c r="G45" i="2"/>
  <c r="O66" i="2"/>
  <c r="G46" i="2" l="1"/>
  <c r="I323" i="2" s="1"/>
  <c r="O67" i="2"/>
  <c r="G47" i="2" l="1"/>
  <c r="O68" i="2"/>
  <c r="I321" i="2" l="1"/>
  <c r="I322" i="2"/>
  <c r="G48" i="2"/>
  <c r="O69" i="2"/>
  <c r="G49" i="2" l="1"/>
  <c r="I320" i="2" s="1"/>
  <c r="O70" i="2"/>
  <c r="G50" i="2" l="1"/>
  <c r="O71" i="2"/>
  <c r="I318" i="2" l="1"/>
  <c r="I319" i="2"/>
  <c r="G51" i="2"/>
  <c r="O72" i="2"/>
  <c r="G52" i="2" l="1"/>
  <c r="I317" i="2" s="1"/>
  <c r="O73" i="2"/>
  <c r="G53" i="2" l="1"/>
  <c r="O74" i="2"/>
  <c r="I315" i="2" l="1"/>
  <c r="I316" i="2"/>
  <c r="G54" i="2"/>
  <c r="O75" i="2"/>
  <c r="G55" i="2" l="1"/>
  <c r="O76" i="2"/>
  <c r="I313" i="2" l="1"/>
  <c r="I314" i="2"/>
  <c r="G56" i="2"/>
  <c r="O77" i="2"/>
  <c r="G57" i="2" l="1"/>
  <c r="O78" i="2"/>
  <c r="I312" i="2" l="1"/>
  <c r="I311" i="2"/>
  <c r="G58" i="2"/>
  <c r="O79" i="2"/>
  <c r="G59" i="2" l="1"/>
  <c r="I310" i="2" s="1"/>
  <c r="O80" i="2"/>
  <c r="G60" i="2" l="1"/>
  <c r="O81" i="2"/>
  <c r="I308" i="2" l="1"/>
  <c r="I309" i="2"/>
  <c r="G61" i="2"/>
  <c r="O82" i="2"/>
  <c r="G62" i="2" l="1"/>
  <c r="I307" i="2" s="1"/>
  <c r="O83" i="2"/>
  <c r="G63" i="2" l="1"/>
  <c r="O84" i="2"/>
  <c r="I305" i="2" l="1"/>
  <c r="I306" i="2"/>
  <c r="G64" i="2"/>
  <c r="O85" i="2"/>
  <c r="G65" i="2" l="1"/>
  <c r="I304" i="2" s="1"/>
  <c r="O86" i="2"/>
  <c r="G66" i="2" l="1"/>
  <c r="O87" i="2"/>
  <c r="I302" i="2" l="1"/>
  <c r="I303" i="2"/>
  <c r="G67" i="2"/>
  <c r="O88" i="2"/>
  <c r="G68" i="2" l="1"/>
  <c r="I301" i="2" s="1"/>
  <c r="O89" i="2"/>
  <c r="G69" i="2" l="1"/>
  <c r="O90" i="2"/>
  <c r="I299" i="2" l="1"/>
  <c r="I300" i="2"/>
  <c r="G70" i="2"/>
  <c r="O91" i="2"/>
  <c r="G71" i="2" l="1"/>
  <c r="O92" i="2"/>
  <c r="I297" i="2" l="1"/>
  <c r="I298" i="2"/>
  <c r="G72" i="2"/>
  <c r="O93" i="2"/>
  <c r="G73" i="2" l="1"/>
  <c r="O94" i="2"/>
  <c r="I296" i="2" l="1"/>
  <c r="I295" i="2"/>
  <c r="G74" i="2"/>
  <c r="O95" i="2"/>
  <c r="G75" i="2" l="1"/>
  <c r="I294" i="2" s="1"/>
  <c r="O96" i="2"/>
  <c r="G76" i="2" l="1"/>
  <c r="O97" i="2"/>
  <c r="I292" i="2" l="1"/>
  <c r="I293" i="2"/>
  <c r="G77" i="2"/>
  <c r="O98" i="2"/>
  <c r="G78" i="2" l="1"/>
  <c r="I291" i="2" s="1"/>
  <c r="O99" i="2"/>
  <c r="G79" i="2" l="1"/>
  <c r="O100" i="2"/>
  <c r="I289" i="2" l="1"/>
  <c r="I290" i="2"/>
  <c r="G80" i="2"/>
  <c r="O101" i="2"/>
  <c r="G81" i="2" l="1"/>
  <c r="I288" i="2" s="1"/>
  <c r="O102" i="2"/>
  <c r="G82" i="2" l="1"/>
  <c r="O103" i="2"/>
  <c r="AA98" i="2" s="1"/>
  <c r="I287" i="2" l="1"/>
  <c r="I286" i="2"/>
  <c r="G83" i="2"/>
  <c r="O104" i="2"/>
  <c r="AA99" i="2" s="1"/>
  <c r="G84" i="2" l="1"/>
  <c r="I285" i="2" s="1"/>
  <c r="O105" i="2"/>
  <c r="AA100" i="2" s="1"/>
  <c r="G85" i="2" l="1"/>
  <c r="O106" i="2"/>
  <c r="AA101" i="2" s="1"/>
  <c r="I283" i="2" l="1"/>
  <c r="I284" i="2"/>
  <c r="G86" i="2"/>
  <c r="O107" i="2"/>
  <c r="G87" i="2" l="1"/>
  <c r="AA97" i="2" s="1"/>
  <c r="O108" i="2"/>
  <c r="AA102" i="2" s="1"/>
  <c r="I281" i="2" l="1"/>
  <c r="I282" i="2"/>
  <c r="G88" i="2"/>
  <c r="O109" i="2"/>
  <c r="AA103" i="2" s="1"/>
  <c r="G89" i="2" l="1"/>
  <c r="O110" i="2"/>
  <c r="AA104" i="2" s="1"/>
  <c r="I280" i="2" l="1"/>
  <c r="I279" i="2"/>
  <c r="G90" i="2"/>
  <c r="O111" i="2"/>
  <c r="AA105" i="2" s="1"/>
  <c r="G91" i="2" l="1"/>
  <c r="I278" i="2" s="1"/>
  <c r="O112" i="2"/>
  <c r="AA106" i="2" s="1"/>
  <c r="G92" i="2" l="1"/>
  <c r="O113" i="2"/>
  <c r="AA107" i="2" s="1"/>
  <c r="I276" i="2" l="1"/>
  <c r="I277" i="2"/>
  <c r="G93" i="2"/>
  <c r="O114" i="2"/>
  <c r="AA108" i="2" s="1"/>
  <c r="G94" i="2" l="1"/>
  <c r="I275" i="2" s="1"/>
  <c r="O115" i="2"/>
  <c r="G95" i="2" l="1"/>
  <c r="AA96" i="2" s="1"/>
  <c r="O116" i="2"/>
  <c r="AA109" i="2" s="1"/>
  <c r="I273" i="2" l="1"/>
  <c r="I274" i="2"/>
  <c r="G96" i="2"/>
  <c r="O117" i="2"/>
  <c r="G97" i="2" l="1"/>
  <c r="I272" i="2" s="1"/>
  <c r="O118" i="2"/>
  <c r="O119" i="2" l="1"/>
  <c r="O120" i="2" s="1"/>
  <c r="G98" i="2"/>
  <c r="G99" i="2" l="1"/>
  <c r="O121" i="2"/>
  <c r="G100" i="2" l="1"/>
  <c r="O122" i="2"/>
  <c r="G101" i="2" l="1"/>
  <c r="O123" i="2"/>
  <c r="G102" i="2" l="1"/>
  <c r="O124" i="2"/>
  <c r="G103" i="2" l="1"/>
  <c r="O125" i="2"/>
  <c r="G104" i="2" l="1"/>
  <c r="O126" i="2"/>
  <c r="G105" i="2" l="1"/>
  <c r="O127" i="2"/>
  <c r="G106" i="2" l="1"/>
  <c r="O128" i="2"/>
  <c r="G107" i="2" l="1"/>
  <c r="O129" i="2"/>
  <c r="G108" i="2" l="1"/>
  <c r="O130" i="2"/>
  <c r="G109" i="2" l="1"/>
  <c r="O131" i="2"/>
  <c r="G110" i="2" l="1"/>
  <c r="O132" i="2"/>
  <c r="G111" i="2" l="1"/>
  <c r="O133" i="2"/>
  <c r="G112" i="2" l="1"/>
  <c r="O134" i="2"/>
  <c r="G113" i="2" l="1"/>
  <c r="O135" i="2"/>
  <c r="G114" i="2" l="1"/>
  <c r="O136" i="2"/>
  <c r="G115" i="2" l="1"/>
  <c r="O137" i="2"/>
  <c r="G116" i="2" l="1"/>
  <c r="O138" i="2"/>
  <c r="G117" i="2" l="1"/>
  <c r="O139" i="2"/>
  <c r="G118" i="2" l="1"/>
  <c r="O140" i="2"/>
  <c r="G119" i="2" l="1"/>
  <c r="O141" i="2"/>
  <c r="G120" i="2" l="1"/>
  <c r="O142" i="2"/>
  <c r="G121" i="2" l="1"/>
  <c r="O143" i="2"/>
  <c r="G122" i="2" l="1"/>
  <c r="O144" i="2"/>
  <c r="G123" i="2" l="1"/>
  <c r="O145" i="2"/>
  <c r="G124" i="2" l="1"/>
  <c r="O146" i="2"/>
  <c r="G125" i="2" l="1"/>
  <c r="O147" i="2"/>
  <c r="G126" i="2" l="1"/>
  <c r="O148" i="2"/>
  <c r="G127" i="2" l="1"/>
  <c r="O149" i="2"/>
  <c r="G128" i="2" l="1"/>
  <c r="O150" i="2"/>
  <c r="G129" i="2" l="1"/>
  <c r="O151" i="2"/>
  <c r="G130" i="2" l="1"/>
  <c r="O152" i="2"/>
  <c r="O153" i="2" s="1"/>
  <c r="O154" i="2" s="1"/>
  <c r="O155" i="2" s="1"/>
  <c r="O156" i="2" s="1"/>
  <c r="O157" i="2" s="1"/>
  <c r="O158" i="2" s="1"/>
  <c r="O159" i="2" s="1"/>
  <c r="O160" i="2" s="1"/>
  <c r="O161" i="2" s="1"/>
  <c r="O162" i="2" s="1"/>
  <c r="O163" i="2" s="1"/>
  <c r="O164" i="2" s="1"/>
  <c r="O165" i="2" s="1"/>
  <c r="O166" i="2" s="1"/>
  <c r="O167" i="2" s="1"/>
  <c r="O168" i="2" s="1"/>
  <c r="O169" i="2" s="1"/>
  <c r="O170" i="2" s="1"/>
  <c r="O171" i="2" s="1"/>
  <c r="O172" i="2" s="1"/>
  <c r="O173" i="2" s="1"/>
  <c r="O174" i="2" s="1"/>
  <c r="O175" i="2" s="1"/>
  <c r="O176" i="2" s="1"/>
  <c r="O177" i="2" s="1"/>
  <c r="O178" i="2" s="1"/>
  <c r="O179" i="2" s="1"/>
  <c r="O180" i="2" s="1"/>
  <c r="O181" i="2" s="1"/>
  <c r="O182" i="2" s="1"/>
  <c r="O183" i="2" s="1"/>
  <c r="O184" i="2" s="1"/>
  <c r="O185" i="2" s="1"/>
  <c r="O186" i="2" s="1"/>
  <c r="O187" i="2" s="1"/>
  <c r="O188" i="2" s="1"/>
  <c r="O189" i="2" s="1"/>
  <c r="O190" i="2" s="1"/>
  <c r="O191" i="2" s="1"/>
  <c r="O192" i="2" s="1"/>
  <c r="O193" i="2" s="1"/>
  <c r="O194" i="2" s="1"/>
  <c r="O195" i="2" s="1"/>
  <c r="O196" i="2" s="1"/>
  <c r="O197" i="2" s="1"/>
  <c r="O198" i="2" s="1"/>
  <c r="O199" i="2" s="1"/>
  <c r="O200" i="2" s="1"/>
  <c r="O201" i="2" s="1"/>
  <c r="O202" i="2" s="1"/>
  <c r="O203" i="2" s="1"/>
  <c r="O204" i="2" s="1"/>
  <c r="O205" i="2" s="1"/>
  <c r="O206" i="2" s="1"/>
  <c r="O207" i="2" s="1"/>
  <c r="O208" i="2" s="1"/>
  <c r="O209" i="2" s="1"/>
  <c r="O210" i="2" s="1"/>
  <c r="O211" i="2" s="1"/>
  <c r="O212" i="2" s="1"/>
  <c r="O213" i="2" s="1"/>
  <c r="O214" i="2" s="1"/>
  <c r="O215" i="2" s="1"/>
  <c r="O216" i="2" s="1"/>
  <c r="O217" i="2" s="1"/>
  <c r="O218" i="2" s="1"/>
  <c r="O219" i="2" s="1"/>
  <c r="O220" i="2" s="1"/>
  <c r="O221" i="2" s="1"/>
  <c r="O222" i="2" s="1"/>
  <c r="O223" i="2" s="1"/>
  <c r="O224" i="2" s="1"/>
  <c r="O225" i="2" s="1"/>
  <c r="O226" i="2" s="1"/>
  <c r="O227" i="2" s="1"/>
  <c r="O228" i="2" s="1"/>
  <c r="O229" i="2" s="1"/>
  <c r="O230" i="2" s="1"/>
  <c r="O231" i="2" s="1"/>
  <c r="O232" i="2" s="1"/>
  <c r="O233" i="2" s="1"/>
  <c r="O234" i="2" s="1"/>
  <c r="O235" i="2" s="1"/>
  <c r="O236" i="2" s="1"/>
  <c r="O237" i="2" s="1"/>
  <c r="O238" i="2" s="1"/>
  <c r="O239" i="2" s="1"/>
  <c r="O240" i="2" s="1"/>
  <c r="O241" i="2" s="1"/>
  <c r="O242" i="2" s="1"/>
  <c r="O243" i="2" s="1"/>
  <c r="O244" i="2" s="1"/>
  <c r="O245" i="2" s="1"/>
  <c r="O246" i="2" s="1"/>
  <c r="O247" i="2" s="1"/>
  <c r="O248" i="2" l="1"/>
  <c r="O249" i="2" s="1"/>
  <c r="I247" i="2"/>
  <c r="I248" i="2"/>
  <c r="G131" i="2"/>
  <c r="O250" i="2" l="1"/>
  <c r="O251" i="2" s="1"/>
  <c r="I249" i="2"/>
  <c r="I250" i="2"/>
  <c r="G132" i="2"/>
  <c r="O252" i="2" l="1"/>
  <c r="O253" i="2" s="1"/>
  <c r="I251" i="2"/>
  <c r="I252" i="2"/>
  <c r="G133" i="2"/>
  <c r="O254" i="2" l="1"/>
  <c r="I253" i="2"/>
  <c r="G134" i="2"/>
  <c r="O255" i="2" l="1"/>
  <c r="O256" i="2" s="1"/>
  <c r="I255" i="2"/>
  <c r="I254" i="2"/>
  <c r="G135" i="2"/>
  <c r="O257" i="2" l="1"/>
  <c r="I256" i="2"/>
  <c r="G136" i="2"/>
  <c r="O258" i="2" l="1"/>
  <c r="O259" i="2" s="1"/>
  <c r="I258" i="2"/>
  <c r="I257" i="2"/>
  <c r="G137" i="2"/>
  <c r="O260" i="2" l="1"/>
  <c r="I259" i="2"/>
  <c r="G138" i="2"/>
  <c r="O261" i="2" l="1"/>
  <c r="O262" i="2" s="1"/>
  <c r="I261" i="2"/>
  <c r="I260" i="2"/>
  <c r="G139" i="2"/>
  <c r="O263" i="2" l="1"/>
  <c r="I262" i="2"/>
  <c r="G140" i="2"/>
  <c r="O264" i="2" l="1"/>
  <c r="O265" i="2" s="1"/>
  <c r="I264" i="2"/>
  <c r="I263" i="2"/>
  <c r="G141" i="2"/>
  <c r="O266" i="2" l="1"/>
  <c r="O267" i="2" s="1"/>
  <c r="I266" i="2"/>
  <c r="I265" i="2"/>
  <c r="G142" i="2"/>
  <c r="O268" i="2" l="1"/>
  <c r="O269" i="2" s="1"/>
  <c r="I268" i="2"/>
  <c r="I267" i="2"/>
  <c r="G143" i="2"/>
  <c r="O270" i="2" l="1"/>
  <c r="I269" i="2"/>
  <c r="G144" i="2"/>
  <c r="O271" i="2" l="1"/>
  <c r="O272" i="2" s="1"/>
  <c r="O273" i="2" s="1"/>
  <c r="O274" i="2" s="1"/>
  <c r="O275" i="2" s="1"/>
  <c r="O276" i="2" s="1"/>
  <c r="O277" i="2" s="1"/>
  <c r="O278" i="2" s="1"/>
  <c r="O279" i="2" s="1"/>
  <c r="O280" i="2" s="1"/>
  <c r="O281" i="2" s="1"/>
  <c r="O282" i="2" s="1"/>
  <c r="O283" i="2" s="1"/>
  <c r="O284" i="2" s="1"/>
  <c r="O285" i="2" s="1"/>
  <c r="O286" i="2" s="1"/>
  <c r="O287" i="2" s="1"/>
  <c r="O288" i="2" s="1"/>
  <c r="O289" i="2" s="1"/>
  <c r="O290" i="2" s="1"/>
  <c r="O291" i="2" s="1"/>
  <c r="O292" i="2" s="1"/>
  <c r="O293" i="2" s="1"/>
  <c r="O294" i="2" s="1"/>
  <c r="O295" i="2" s="1"/>
  <c r="O296" i="2" s="1"/>
  <c r="O297" i="2" s="1"/>
  <c r="O298" i="2" s="1"/>
  <c r="O299" i="2" s="1"/>
  <c r="O300" i="2" s="1"/>
  <c r="O301" i="2" s="1"/>
  <c r="O302" i="2" s="1"/>
  <c r="O303" i="2" s="1"/>
  <c r="O304" i="2" s="1"/>
  <c r="O305" i="2" s="1"/>
  <c r="O306" i="2" s="1"/>
  <c r="O307" i="2" s="1"/>
  <c r="O308" i="2" s="1"/>
  <c r="O309" i="2" s="1"/>
  <c r="O310" i="2" s="1"/>
  <c r="O311" i="2" s="1"/>
  <c r="O312" i="2" s="1"/>
  <c r="O313" i="2" s="1"/>
  <c r="O314" i="2" s="1"/>
  <c r="O315" i="2" s="1"/>
  <c r="O316" i="2" s="1"/>
  <c r="O317" i="2" s="1"/>
  <c r="O318" i="2" s="1"/>
  <c r="O319" i="2" s="1"/>
  <c r="O320" i="2" s="1"/>
  <c r="O321" i="2" s="1"/>
  <c r="O322" i="2" s="1"/>
  <c r="O323" i="2" s="1"/>
  <c r="O324" i="2" s="1"/>
  <c r="O325" i="2" s="1"/>
  <c r="O326" i="2" s="1"/>
  <c r="O327" i="2" s="1"/>
  <c r="O328" i="2" s="1"/>
  <c r="O329" i="2" s="1"/>
  <c r="O330" i="2" s="1"/>
  <c r="O331" i="2" s="1"/>
  <c r="O332" i="2" s="1"/>
  <c r="O333" i="2" s="1"/>
  <c r="O334" i="2" s="1"/>
  <c r="O335" i="2" s="1"/>
  <c r="O336" i="2" s="1"/>
  <c r="O337" i="2" s="1"/>
  <c r="O338" i="2" s="1"/>
  <c r="O339" i="2" s="1"/>
  <c r="O340" i="2" s="1"/>
  <c r="O341" i="2" s="1"/>
  <c r="O342" i="2" s="1"/>
  <c r="O343" i="2" s="1"/>
  <c r="O344" i="2" s="1"/>
  <c r="O345" i="2" s="1"/>
  <c r="O346" i="2" s="1"/>
  <c r="O347" i="2" s="1"/>
  <c r="O348" i="2" s="1"/>
  <c r="O349" i="2" s="1"/>
  <c r="O350" i="2" s="1"/>
  <c r="O351" i="2" s="1"/>
  <c r="O352" i="2" s="1"/>
  <c r="O353" i="2" s="1"/>
  <c r="O354" i="2" s="1"/>
  <c r="O355" i="2" s="1"/>
  <c r="O356" i="2" s="1"/>
  <c r="O357" i="2" s="1"/>
  <c r="O358" i="2" s="1"/>
  <c r="O359" i="2" s="1"/>
  <c r="O360" i="2" s="1"/>
  <c r="O361" i="2" s="1"/>
  <c r="O362" i="2" s="1"/>
  <c r="O363" i="2" s="1"/>
  <c r="O364" i="2" s="1"/>
  <c r="O365" i="2" s="1"/>
  <c r="O366" i="2" s="1"/>
  <c r="O367" i="2" s="1"/>
  <c r="O368" i="2" s="1"/>
  <c r="O369" i="2" s="1"/>
  <c r="O370" i="2" s="1"/>
  <c r="O371" i="2" s="1"/>
  <c r="O372" i="2" s="1"/>
  <c r="O373" i="2" s="1"/>
  <c r="O374" i="2" s="1"/>
  <c r="O375" i="2" s="1"/>
  <c r="O376" i="2" s="1"/>
  <c r="O377" i="2" s="1"/>
  <c r="O378" i="2" s="1"/>
  <c r="O379" i="2" s="1"/>
  <c r="O380" i="2" s="1"/>
  <c r="O381" i="2" s="1"/>
  <c r="O382" i="2" s="1"/>
  <c r="O383" i="2" s="1"/>
  <c r="O384" i="2" s="1"/>
  <c r="O385" i="2" s="1"/>
  <c r="O386" i="2" s="1"/>
  <c r="O387" i="2" s="1"/>
  <c r="O388" i="2" s="1"/>
  <c r="O389" i="2" s="1"/>
  <c r="O390" i="2" s="1"/>
  <c r="O391" i="2" s="1"/>
  <c r="O392" i="2" s="1"/>
  <c r="O393" i="2" s="1"/>
  <c r="O394" i="2" s="1"/>
  <c r="O395" i="2" s="1"/>
  <c r="O396" i="2" s="1"/>
  <c r="O397" i="2" s="1"/>
  <c r="O398" i="2" s="1"/>
  <c r="O399" i="2" s="1"/>
  <c r="O400" i="2" s="1"/>
  <c r="O401" i="2" s="1"/>
  <c r="O402" i="2" s="1"/>
  <c r="O403" i="2" s="1"/>
  <c r="O404" i="2" s="1"/>
  <c r="O405" i="2" s="1"/>
  <c r="O406" i="2" s="1"/>
  <c r="O407" i="2" s="1"/>
  <c r="O408" i="2" s="1"/>
  <c r="O409" i="2" s="1"/>
  <c r="O410" i="2" s="1"/>
  <c r="O411" i="2" s="1"/>
  <c r="O412" i="2" s="1"/>
  <c r="O413" i="2" s="1"/>
  <c r="O414" i="2" s="1"/>
  <c r="I270" i="2"/>
  <c r="I271" i="2"/>
  <c r="G145" i="2"/>
  <c r="G146" i="2" l="1"/>
  <c r="G147" i="2" l="1"/>
  <c r="G148" i="2" l="1"/>
  <c r="G149" i="2" l="1"/>
  <c r="G150" i="2" l="1"/>
  <c r="G151" i="2" l="1"/>
  <c r="G152" i="2" l="1"/>
  <c r="G153" i="2" s="1"/>
  <c r="G154" i="2" s="1"/>
  <c r="G155" i="2" s="1"/>
  <c r="G156" i="2" s="1"/>
  <c r="G157" i="2" s="1"/>
  <c r="G158" i="2" s="1"/>
  <c r="G159" i="2" s="1"/>
  <c r="G160" i="2" s="1"/>
  <c r="G161" i="2" s="1"/>
  <c r="G162" i="2" s="1"/>
  <c r="G163" i="2" s="1"/>
  <c r="G164" i="2" s="1"/>
  <c r="G165" i="2" s="1"/>
  <c r="G166" i="2" s="1"/>
  <c r="G167" i="2" s="1"/>
  <c r="G168" i="2" s="1"/>
  <c r="G169" i="2" s="1"/>
  <c r="G170" i="2" s="1"/>
  <c r="G171" i="2" s="1"/>
  <c r="G172" i="2" s="1"/>
  <c r="G173" i="2" s="1"/>
  <c r="G174" i="2" s="1"/>
  <c r="G175" i="2" s="1"/>
  <c r="G176" i="2" s="1"/>
  <c r="G177" i="2" s="1"/>
  <c r="G178" i="2" s="1"/>
  <c r="G179" i="2" s="1"/>
  <c r="G180" i="2" s="1"/>
  <c r="G181" i="2" s="1"/>
  <c r="G182" i="2" s="1"/>
  <c r="G183" i="2" s="1"/>
  <c r="G184" i="2" l="1"/>
  <c r="G185" i="2" s="1"/>
  <c r="I185" i="2"/>
  <c r="I184" i="2" l="1"/>
  <c r="I183" i="2"/>
  <c r="I187" i="2" l="1"/>
  <c r="I188" i="2"/>
  <c r="I189" i="2"/>
  <c r="I191" i="2"/>
  <c r="I190" i="2"/>
  <c r="I192" i="2"/>
  <c r="I193" i="2"/>
  <c r="AA95" i="2"/>
  <c r="AA91" i="2"/>
  <c r="AA87" i="2"/>
  <c r="AA83" i="2"/>
  <c r="AA79" i="2"/>
  <c r="AA94" i="2"/>
  <c r="AA86" i="2"/>
  <c r="AA78" i="2"/>
  <c r="AA92" i="2"/>
  <c r="AA80" i="2"/>
  <c r="AA90" i="2"/>
  <c r="AA82" i="2"/>
  <c r="AA84" i="2"/>
  <c r="AA93" i="2"/>
  <c r="AA89" i="2"/>
  <c r="AA85" i="2"/>
  <c r="AA81" i="2"/>
  <c r="AA88" i="2"/>
  <c r="AA37" i="2"/>
  <c r="I194" i="2"/>
  <c r="I195" i="2" l="1"/>
  <c r="I196" i="2"/>
  <c r="AA36" i="2"/>
  <c r="AA35" i="2" l="1"/>
  <c r="I197" i="2"/>
  <c r="AA34" i="2" l="1"/>
  <c r="I198" i="2"/>
  <c r="I199" i="2" l="1"/>
  <c r="AA33" i="2"/>
  <c r="AA32" i="2" l="1"/>
  <c r="I200" i="2"/>
  <c r="I201" i="2" l="1"/>
  <c r="AA31" i="2"/>
  <c r="AA30" i="2" l="1"/>
  <c r="I202" i="2"/>
  <c r="I203" i="2" l="1"/>
  <c r="AA29" i="2"/>
  <c r="I204" i="2" l="1"/>
  <c r="AA28" i="2"/>
  <c r="I205" i="2" l="1"/>
  <c r="AA27" i="2"/>
  <c r="I206" i="2" l="1"/>
  <c r="AA26" i="2"/>
  <c r="I207" i="2" l="1"/>
  <c r="AA25" i="2"/>
  <c r="I208" i="2" l="1"/>
  <c r="AA24" i="2"/>
  <c r="I209" i="2" l="1"/>
  <c r="I210" i="2" l="1"/>
  <c r="G186" i="2"/>
  <c r="AA23" i="2" s="1"/>
  <c r="I211" i="2" l="1"/>
  <c r="G187" i="2"/>
  <c r="I181" i="2" l="1"/>
  <c r="I182" i="2"/>
  <c r="AA22" i="2"/>
  <c r="AA77" i="2"/>
  <c r="I212" i="2"/>
  <c r="G188" i="2"/>
  <c r="AA21" i="2" s="1"/>
  <c r="I213" i="2" l="1"/>
  <c r="G189" i="2"/>
  <c r="I180" i="2" l="1"/>
  <c r="I179" i="2"/>
  <c r="I214" i="2"/>
  <c r="G190" i="2"/>
  <c r="I215" i="2" l="1"/>
  <c r="G191" i="2"/>
  <c r="I177" i="2" l="1"/>
  <c r="I178" i="2"/>
  <c r="AA20" i="2"/>
  <c r="AA76" i="2"/>
  <c r="G192" i="2"/>
  <c r="AA19" i="2" s="1"/>
  <c r="I216" i="2"/>
  <c r="G193" i="2" l="1"/>
  <c r="I217" i="2"/>
  <c r="AA18" i="2" l="1"/>
  <c r="I175" i="2"/>
  <c r="I176" i="2"/>
  <c r="G194" i="2"/>
  <c r="AA17" i="2"/>
  <c r="I218" i="2"/>
  <c r="G195" i="2" l="1"/>
  <c r="I17" i="2"/>
  <c r="I219" i="2"/>
  <c r="I173" i="2" l="1"/>
  <c r="I174" i="2"/>
  <c r="G196" i="2"/>
  <c r="G197" i="2" s="1"/>
  <c r="AA75" i="2"/>
  <c r="I96" i="2"/>
  <c r="I95" i="2"/>
  <c r="I94" i="2"/>
  <c r="I93" i="2"/>
  <c r="I92" i="2"/>
  <c r="I91" i="2"/>
  <c r="I90" i="2"/>
  <c r="I89" i="2"/>
  <c r="I88" i="2"/>
  <c r="I87" i="2"/>
  <c r="I86" i="2"/>
  <c r="I85" i="2"/>
  <c r="I84" i="2"/>
  <c r="I83" i="2"/>
  <c r="I82" i="2"/>
  <c r="I81" i="2"/>
  <c r="I80" i="2"/>
  <c r="I79" i="2"/>
  <c r="I78" i="2"/>
  <c r="I77" i="2"/>
  <c r="I76" i="2"/>
  <c r="I75" i="2"/>
  <c r="I74" i="2"/>
  <c r="I73" i="2"/>
  <c r="I72" i="2"/>
  <c r="I71" i="2"/>
  <c r="I70" i="2"/>
  <c r="I69" i="2"/>
  <c r="I68" i="2"/>
  <c r="I67" i="2"/>
  <c r="I66" i="2"/>
  <c r="I65" i="2"/>
  <c r="I64" i="2"/>
  <c r="I63" i="2"/>
  <c r="I62" i="2"/>
  <c r="I61" i="2"/>
  <c r="I60" i="2"/>
  <c r="I59" i="2"/>
  <c r="I58" i="2"/>
  <c r="I57" i="2"/>
  <c r="I56" i="2"/>
  <c r="I55" i="2"/>
  <c r="I54" i="2"/>
  <c r="I53" i="2"/>
  <c r="I52" i="2"/>
  <c r="I51" i="2"/>
  <c r="I50" i="2"/>
  <c r="I49" i="2"/>
  <c r="I48" i="2"/>
  <c r="I186" i="2"/>
  <c r="I47" i="2"/>
  <c r="I46" i="2"/>
  <c r="I45" i="2"/>
  <c r="I44" i="2"/>
  <c r="I43" i="2"/>
  <c r="I42" i="2"/>
  <c r="I41" i="2"/>
  <c r="I40" i="2"/>
  <c r="I39" i="2"/>
  <c r="I38" i="2"/>
  <c r="I37" i="2"/>
  <c r="I36" i="2"/>
  <c r="I35" i="2"/>
  <c r="I34" i="2"/>
  <c r="I33" i="2"/>
  <c r="I32" i="2"/>
  <c r="I31" i="2"/>
  <c r="I30" i="2"/>
  <c r="I29" i="2"/>
  <c r="I28" i="2"/>
  <c r="I27" i="2"/>
  <c r="I26" i="2"/>
  <c r="I25" i="2"/>
  <c r="I24" i="2"/>
  <c r="I23" i="2"/>
  <c r="I22" i="2"/>
  <c r="I21" i="2"/>
  <c r="I20" i="2"/>
  <c r="I19" i="2"/>
  <c r="I18" i="2"/>
  <c r="I220" i="2"/>
  <c r="G198" i="2" l="1"/>
  <c r="G199" i="2" s="1"/>
  <c r="G200" i="2" s="1"/>
  <c r="G201" i="2" s="1"/>
  <c r="I172" i="2"/>
  <c r="I171" i="2"/>
  <c r="I221" i="2"/>
  <c r="AA74" i="2" l="1"/>
  <c r="I167" i="2"/>
  <c r="I168" i="2"/>
  <c r="I169" i="2"/>
  <c r="I170" i="2"/>
  <c r="G202" i="2"/>
  <c r="G203" i="2" s="1"/>
  <c r="AA73" i="2"/>
  <c r="I222" i="2"/>
  <c r="I165" i="2" l="1"/>
  <c r="I166" i="2"/>
  <c r="G204" i="2"/>
  <c r="G205" i="2" s="1"/>
  <c r="AA72" i="2"/>
  <c r="I223" i="2"/>
  <c r="I163" i="2" l="1"/>
  <c r="I164" i="2"/>
  <c r="G206" i="2"/>
  <c r="G207" i="2" s="1"/>
  <c r="AA71" i="2"/>
  <c r="I224" i="2"/>
  <c r="I161" i="2" l="1"/>
  <c r="I162" i="2"/>
  <c r="G208" i="2"/>
  <c r="G209" i="2" s="1"/>
  <c r="AA70" i="2"/>
  <c r="I225" i="2"/>
  <c r="I159" i="2" l="1"/>
  <c r="I160" i="2"/>
  <c r="G210" i="2"/>
  <c r="G211" i="2" s="1"/>
  <c r="AA69" i="2"/>
  <c r="I226" i="2"/>
  <c r="I157" i="2" l="1"/>
  <c r="I158" i="2"/>
  <c r="G212" i="2"/>
  <c r="G213" i="2" s="1"/>
  <c r="AA68" i="2"/>
  <c r="I227" i="2"/>
  <c r="I156" i="2" l="1"/>
  <c r="I155" i="2"/>
  <c r="G214" i="2"/>
  <c r="G215" i="2" s="1"/>
  <c r="AA67" i="2"/>
  <c r="I228" i="2"/>
  <c r="I153" i="2" l="1"/>
  <c r="I154" i="2"/>
  <c r="G216" i="2"/>
  <c r="G217" i="2" s="1"/>
  <c r="AA66" i="2"/>
  <c r="I229" i="2"/>
  <c r="I152" i="2" l="1"/>
  <c r="I151" i="2"/>
  <c r="G218" i="2"/>
  <c r="G219" i="2" s="1"/>
  <c r="AA65" i="2"/>
  <c r="I230" i="2"/>
  <c r="I150" i="2" l="1"/>
  <c r="I149" i="2"/>
  <c r="G220" i="2"/>
  <c r="G221" i="2" s="1"/>
  <c r="AA64" i="2"/>
  <c r="I231" i="2"/>
  <c r="I147" i="2" l="1"/>
  <c r="I148" i="2"/>
  <c r="G222" i="2"/>
  <c r="G223" i="2" s="1"/>
  <c r="AA63" i="2"/>
  <c r="I232" i="2"/>
  <c r="I145" i="2" l="1"/>
  <c r="I146" i="2"/>
  <c r="G224" i="2"/>
  <c r="G225" i="2" s="1"/>
  <c r="AA62" i="2"/>
  <c r="I233" i="2"/>
  <c r="I144" i="2" l="1"/>
  <c r="I143" i="2"/>
  <c r="G226" i="2"/>
  <c r="G227" i="2" s="1"/>
  <c r="AA61" i="2"/>
  <c r="I234" i="2"/>
  <c r="I141" i="2" l="1"/>
  <c r="I142" i="2"/>
  <c r="G228" i="2"/>
  <c r="G229" i="2" s="1"/>
  <c r="AA60" i="2"/>
  <c r="I235" i="2"/>
  <c r="I140" i="2" l="1"/>
  <c r="I139" i="2"/>
  <c r="G230" i="2"/>
  <c r="G231" i="2" s="1"/>
  <c r="AA59" i="2"/>
  <c r="I236" i="2"/>
  <c r="I137" i="2" l="1"/>
  <c r="I138" i="2"/>
  <c r="G232" i="2"/>
  <c r="G233" i="2" s="1"/>
  <c r="AA58" i="2"/>
  <c r="I237" i="2"/>
  <c r="I135" i="2" l="1"/>
  <c r="I136" i="2"/>
  <c r="G234" i="2"/>
  <c r="G235" i="2" s="1"/>
  <c r="AA57" i="2"/>
  <c r="I238" i="2"/>
  <c r="I133" i="2" l="1"/>
  <c r="I134" i="2"/>
  <c r="G236" i="2"/>
  <c r="G237" i="2" s="1"/>
  <c r="AA56" i="2"/>
  <c r="I239" i="2"/>
  <c r="I132" i="2" l="1"/>
  <c r="I131" i="2"/>
  <c r="G238" i="2"/>
  <c r="G239" i="2" s="1"/>
  <c r="AA55" i="2"/>
  <c r="I240" i="2"/>
  <c r="I129" i="2" l="1"/>
  <c r="I130" i="2"/>
  <c r="G240" i="2"/>
  <c r="G241" i="2" s="1"/>
  <c r="AA54" i="2"/>
  <c r="I241" i="2"/>
  <c r="I128" i="2" l="1"/>
  <c r="I127" i="2"/>
  <c r="G242" i="2"/>
  <c r="G243" i="2" s="1"/>
  <c r="AA53" i="2"/>
  <c r="I242" i="2"/>
  <c r="I125" i="2" l="1"/>
  <c r="I126" i="2"/>
  <c r="G244" i="2"/>
  <c r="G245" i="2" s="1"/>
  <c r="AA52" i="2"/>
  <c r="I243" i="2"/>
  <c r="I123" i="2" l="1"/>
  <c r="I124" i="2"/>
  <c r="G246" i="2"/>
  <c r="G247" i="2" s="1"/>
  <c r="AA51" i="2"/>
  <c r="I244" i="2"/>
  <c r="I121" i="2" l="1"/>
  <c r="I122" i="2"/>
  <c r="G248" i="2"/>
  <c r="G249" i="2" s="1"/>
  <c r="AA50" i="2"/>
  <c r="I245" i="2"/>
  <c r="I120" i="2" l="1"/>
  <c r="I119" i="2"/>
  <c r="G250" i="2"/>
  <c r="G251" i="2" s="1"/>
  <c r="AA49" i="2"/>
  <c r="I246" i="2"/>
  <c r="I117" i="2" l="1"/>
  <c r="I118" i="2"/>
  <c r="G252" i="2"/>
  <c r="G253" i="2" s="1"/>
  <c r="AA48" i="2"/>
  <c r="I116" i="2" l="1"/>
  <c r="I115" i="2"/>
  <c r="G254" i="2"/>
  <c r="G255" i="2" s="1"/>
  <c r="AA47" i="2"/>
  <c r="I114" i="2" l="1"/>
  <c r="I113" i="2"/>
  <c r="G256" i="2"/>
  <c r="G257" i="2" s="1"/>
  <c r="AA46" i="2"/>
  <c r="I112" i="2" l="1"/>
  <c r="I111" i="2"/>
  <c r="G258" i="2"/>
  <c r="G259" i="2" s="1"/>
  <c r="AA45" i="2"/>
  <c r="I109" i="2" l="1"/>
  <c r="I110" i="2"/>
  <c r="G260" i="2"/>
  <c r="G261" i="2" s="1"/>
  <c r="AA44" i="2"/>
  <c r="I108" i="2" l="1"/>
  <c r="I107" i="2"/>
  <c r="G262" i="2"/>
  <c r="G263" i="2" s="1"/>
  <c r="AA43" i="2"/>
  <c r="I105" i="2" l="1"/>
  <c r="I106" i="2"/>
  <c r="G264" i="2"/>
  <c r="G265" i="2" s="1"/>
  <c r="AA42" i="2"/>
  <c r="I104" i="2" l="1"/>
  <c r="I103" i="2"/>
  <c r="G266" i="2"/>
  <c r="G267" i="2" s="1"/>
  <c r="AA41" i="2"/>
  <c r="I101" i="2" l="1"/>
  <c r="I102" i="2"/>
  <c r="G268" i="2"/>
  <c r="G269" i="2" s="1"/>
  <c r="AA40" i="2"/>
  <c r="I100" i="2" l="1"/>
  <c r="I99" i="2"/>
  <c r="G270" i="2"/>
  <c r="G271" i="2" s="1"/>
  <c r="G272" i="2" s="1"/>
  <c r="G273" i="2" s="1"/>
  <c r="G274" i="2" s="1"/>
  <c r="G275" i="2" s="1"/>
  <c r="G276" i="2" s="1"/>
  <c r="G277" i="2" s="1"/>
  <c r="G278" i="2" s="1"/>
  <c r="G279" i="2" s="1"/>
  <c r="G280" i="2" s="1"/>
  <c r="G281" i="2" s="1"/>
  <c r="G282" i="2" s="1"/>
  <c r="G283" i="2" s="1"/>
  <c r="G284" i="2" s="1"/>
  <c r="G285" i="2" s="1"/>
  <c r="G286" i="2" s="1"/>
  <c r="G287" i="2" s="1"/>
  <c r="G288" i="2" s="1"/>
  <c r="G289" i="2" s="1"/>
  <c r="G290" i="2" s="1"/>
  <c r="G291" i="2" s="1"/>
  <c r="G292" i="2" s="1"/>
  <c r="G293" i="2" s="1"/>
  <c r="G294" i="2" s="1"/>
  <c r="G295" i="2" s="1"/>
  <c r="G296" i="2" s="1"/>
  <c r="G297" i="2" s="1"/>
  <c r="G298" i="2" s="1"/>
  <c r="G299" i="2" s="1"/>
  <c r="G300" i="2" s="1"/>
  <c r="G301" i="2" s="1"/>
  <c r="G302" i="2" s="1"/>
  <c r="G303" i="2" s="1"/>
  <c r="G304" i="2" s="1"/>
  <c r="G305" i="2" s="1"/>
  <c r="G306" i="2" s="1"/>
  <c r="G307" i="2" s="1"/>
  <c r="G308" i="2" s="1"/>
  <c r="G309" i="2" s="1"/>
  <c r="G310" i="2" s="1"/>
  <c r="G311" i="2" s="1"/>
  <c r="G312" i="2" s="1"/>
  <c r="G313" i="2" s="1"/>
  <c r="G314" i="2" s="1"/>
  <c r="G315" i="2" s="1"/>
  <c r="G316" i="2" s="1"/>
  <c r="G317" i="2" s="1"/>
  <c r="G318" i="2" s="1"/>
  <c r="G319" i="2" s="1"/>
  <c r="G320" i="2" s="1"/>
  <c r="G321" i="2" s="1"/>
  <c r="G322" i="2" s="1"/>
  <c r="G323" i="2" s="1"/>
  <c r="G324" i="2" s="1"/>
  <c r="G325" i="2" s="1"/>
  <c r="G326" i="2" s="1"/>
  <c r="G327" i="2" s="1"/>
  <c r="G328" i="2" s="1"/>
  <c r="G329" i="2" s="1"/>
  <c r="G330" i="2" s="1"/>
  <c r="G331" i="2" s="1"/>
  <c r="G332" i="2" s="1"/>
  <c r="G333" i="2" s="1"/>
  <c r="G334" i="2" s="1"/>
  <c r="G335" i="2" s="1"/>
  <c r="G336" i="2" s="1"/>
  <c r="G337" i="2" s="1"/>
  <c r="G338" i="2" s="1"/>
  <c r="G339" i="2" s="1"/>
  <c r="G340" i="2" s="1"/>
  <c r="G341" i="2" s="1"/>
  <c r="G342" i="2" s="1"/>
  <c r="G343" i="2" s="1"/>
  <c r="G344" i="2" s="1"/>
  <c r="G345" i="2" s="1"/>
  <c r="G346" i="2" s="1"/>
  <c r="G347" i="2" s="1"/>
  <c r="G348" i="2" s="1"/>
  <c r="G349" i="2" s="1"/>
  <c r="G350" i="2" s="1"/>
  <c r="G351" i="2" s="1"/>
  <c r="G352" i="2" s="1"/>
  <c r="G353" i="2" s="1"/>
  <c r="G354" i="2" s="1"/>
  <c r="G355" i="2" s="1"/>
  <c r="G356" i="2" s="1"/>
  <c r="G357" i="2" s="1"/>
  <c r="G358" i="2" s="1"/>
  <c r="G359" i="2" s="1"/>
  <c r="G360" i="2" s="1"/>
  <c r="AA39" i="2"/>
  <c r="AA38" i="2" l="1"/>
  <c r="AA12" i="2" s="1"/>
  <c r="I97" i="2"/>
  <c r="I98" i="2"/>
  <c r="V8" i="2"/>
  <c r="I12" i="2" l="1"/>
  <c r="D9" i="2"/>
  <c r="D8" i="2"/>
  <c r="V9" i="2"/>
  <c r="L13" i="2" l="1"/>
  <c r="D13" i="2"/>
  <c r="V13" i="2"/>
  <c r="AD13" i="2"/>
  <c r="D7" i="2"/>
  <c r="V7" i="2"/>
  <c r="F5" i="2" l="1"/>
</calcChain>
</file>

<file path=xl/comments1.xml><?xml version="1.0" encoding="utf-8"?>
<comments xmlns="http://schemas.openxmlformats.org/spreadsheetml/2006/main">
  <authors>
    <author>tlack</author>
  </authors>
  <commentList>
    <comment ref="C16" authorId="0" shapeId="0">
      <text>
        <r>
          <rPr>
            <b/>
            <sz val="9"/>
            <color indexed="81"/>
            <rFont val="Tahoma"/>
            <family val="2"/>
          </rPr>
          <t>tlack:</t>
        </r>
        <r>
          <rPr>
            <sz val="9"/>
            <color indexed="81"/>
            <rFont val="Tahoma"/>
            <family val="2"/>
          </rPr>
          <t xml:space="preserve">
Option feed breaks when weekly and monthly options expire on the same date.  Reuters Search function can not filter the contract type.</t>
        </r>
      </text>
    </comment>
  </commentList>
</comments>
</file>

<file path=xl/sharedStrings.xml><?xml version="1.0" encoding="utf-8"?>
<sst xmlns="http://schemas.openxmlformats.org/spreadsheetml/2006/main" count="608" uniqueCount="573">
  <si>
    <t>Date</t>
  </si>
  <si>
    <r>
      <t>K</t>
    </r>
    <r>
      <rPr>
        <vertAlign val="subscript"/>
        <sz val="10"/>
        <rFont val="Arial"/>
        <family val="2"/>
      </rPr>
      <t>1</t>
    </r>
    <r>
      <rPr>
        <sz val="10"/>
        <rFont val="Arial"/>
        <family val="2"/>
      </rPr>
      <t>* =</t>
    </r>
  </si>
  <si>
    <t>Call Strikes</t>
  </si>
  <si>
    <t>Bid</t>
  </si>
  <si>
    <t>Ask</t>
  </si>
  <si>
    <t>Mid-Point</t>
  </si>
  <si>
    <t>Nearest Term Call Options</t>
  </si>
  <si>
    <t>Nearest Term Put Options</t>
  </si>
  <si>
    <t>Identifier</t>
  </si>
  <si>
    <t xml:space="preserve">=RSearch("OPTION","Search:"&amp;B6&amp;" CallPutOption:"&amp;B5&amp;" StrikePrice:"&amp;B7*(1-B8)&amp;"=&lt;"&amp;B7*(1+B8)&amp;" ExpiryDate:"&amp;B10&amp;"=&lt;"&amp;B11,"NBROWS:2000 SORT:ExpiryDate:A </t>
  </si>
  <si>
    <t>EXPIR_DATE</t>
  </si>
  <si>
    <t>CALL/PUT</t>
  </si>
  <si>
    <t>Call</t>
  </si>
  <si>
    <t>Put</t>
  </si>
  <si>
    <t>.SPX</t>
  </si>
  <si>
    <t>Current SPX Level</t>
  </si>
  <si>
    <t>% Out of the Money</t>
  </si>
  <si>
    <t>Start Date</t>
  </si>
  <si>
    <t>End Date</t>
  </si>
  <si>
    <t>Near</t>
  </si>
  <si>
    <t>=RSearch("OPTION","Search:"&amp;B6&amp;" CallPutOption:"&amp;B5&amp;" StrikePrice:"&amp;B7&amp;"=&lt;"&amp;B7*(1+B8)&amp;" ExpiryDate:"&amp;B10&amp;"=&lt;"&amp;B11,"NBROWS:2000 SORT:ExpiryDate:A SORT:StrikePrice:A",,E4:E190)</t>
  </si>
  <si>
    <t>Threshold:</t>
  </si>
  <si>
    <t>'=RSearch("OPTION","Search:.SPX CallPutOption:"&amp;B5&amp;" StrikePrice:"&amp;B7*(1.05)&amp;"=&lt;"&amp;B7*(1-Threshold)&amp;" ExpiryDate:"&amp;B10&amp;"=&lt;"&amp;B11,"NBROWS:2000 SORT:ExpiryDate:A SORT:StrikePrice:A",,E4)</t>
  </si>
  <si>
    <t>'=RSearch("OPTION","Search:.SPX CallPutOption:"&amp;B5&amp;" StrikePrice:"&amp;B7*(.95)&amp;"=&lt;"&amp;B7*(1+Threshold)&amp;" ExpiryDate:"&amp;B10&amp;"=&lt;"&amp;B11,"NBROWS:2000 SORT:ExpiryDate:A SORT:StrikePrice:A",,E4)</t>
  </si>
  <si>
    <t>Curr Price</t>
  </si>
  <si>
    <t>Threshold</t>
  </si>
  <si>
    <t>Call/Put</t>
  </si>
  <si>
    <t>Contract Date</t>
  </si>
  <si>
    <t>Spot S&amp;P:</t>
  </si>
  <si>
    <t>Calc Time:</t>
  </si>
  <si>
    <t>Risk-Free Rate:</t>
  </si>
  <si>
    <r>
      <t>T</t>
    </r>
    <r>
      <rPr>
        <i/>
        <vertAlign val="subscript"/>
        <sz val="11"/>
        <rFont val="Arial"/>
        <family val="2"/>
      </rPr>
      <t>2</t>
    </r>
    <r>
      <rPr>
        <i/>
        <sz val="11"/>
        <rFont val="Arial"/>
        <family val="2"/>
      </rPr>
      <t xml:space="preserve"> =</t>
    </r>
  </si>
  <si>
    <r>
      <t>K</t>
    </r>
    <r>
      <rPr>
        <i/>
        <vertAlign val="subscript"/>
        <sz val="11"/>
        <rFont val="Arial"/>
        <family val="2"/>
      </rPr>
      <t>0</t>
    </r>
    <r>
      <rPr>
        <i/>
        <sz val="11"/>
        <rFont val="Arial"/>
        <family val="2"/>
      </rPr>
      <t xml:space="preserve"> =</t>
    </r>
  </si>
  <si>
    <r>
      <t>F</t>
    </r>
    <r>
      <rPr>
        <i/>
        <vertAlign val="subscript"/>
        <sz val="11"/>
        <rFont val="Arial"/>
        <family val="2"/>
      </rPr>
      <t>2</t>
    </r>
    <r>
      <rPr>
        <i/>
        <sz val="11"/>
        <rFont val="Arial"/>
        <family val="2"/>
      </rPr>
      <t xml:space="preserve"> =</t>
    </r>
  </si>
  <si>
    <r>
      <t>Days</t>
    </r>
    <r>
      <rPr>
        <i/>
        <vertAlign val="subscript"/>
        <sz val="11"/>
        <rFont val="Arial"/>
        <family val="2"/>
      </rPr>
      <t>2</t>
    </r>
    <r>
      <rPr>
        <i/>
        <sz val="11"/>
        <rFont val="Arial"/>
        <family val="2"/>
      </rPr>
      <t>=</t>
    </r>
  </si>
  <si>
    <r>
      <t>Expiry</t>
    </r>
    <r>
      <rPr>
        <vertAlign val="subscript"/>
        <sz val="11"/>
        <rFont val="Arial"/>
        <family val="2"/>
      </rPr>
      <t>2</t>
    </r>
  </si>
  <si>
    <r>
      <t>Expiry</t>
    </r>
    <r>
      <rPr>
        <vertAlign val="subscript"/>
        <sz val="11"/>
        <rFont val="Arial"/>
        <family val="2"/>
      </rPr>
      <t>1</t>
    </r>
  </si>
  <si>
    <r>
      <t>F</t>
    </r>
    <r>
      <rPr>
        <i/>
        <vertAlign val="subscript"/>
        <sz val="11"/>
        <rFont val="Arial"/>
        <family val="2"/>
      </rPr>
      <t>1</t>
    </r>
    <r>
      <rPr>
        <i/>
        <sz val="11"/>
        <rFont val="Arial"/>
        <family val="2"/>
      </rPr>
      <t xml:space="preserve"> =</t>
    </r>
  </si>
  <si>
    <r>
      <t>T</t>
    </r>
    <r>
      <rPr>
        <i/>
        <vertAlign val="subscript"/>
        <sz val="11"/>
        <rFont val="Arial"/>
        <family val="2"/>
      </rPr>
      <t>1</t>
    </r>
    <r>
      <rPr>
        <i/>
        <sz val="11"/>
        <rFont val="Arial"/>
        <family val="2"/>
      </rPr>
      <t xml:space="preserve"> =</t>
    </r>
  </si>
  <si>
    <r>
      <t>N</t>
    </r>
    <r>
      <rPr>
        <vertAlign val="subscript"/>
        <sz val="11"/>
        <rFont val="Arial"/>
        <family val="2"/>
      </rPr>
      <t xml:space="preserve">T1 </t>
    </r>
    <r>
      <rPr>
        <sz val="11"/>
        <rFont val="Arial"/>
        <family val="2"/>
      </rPr>
      <t>=</t>
    </r>
  </si>
  <si>
    <r>
      <t>N</t>
    </r>
    <r>
      <rPr>
        <vertAlign val="subscript"/>
        <sz val="11"/>
        <rFont val="Arial"/>
        <family val="2"/>
      </rPr>
      <t xml:space="preserve">T2 </t>
    </r>
    <r>
      <rPr>
        <sz val="11"/>
        <rFont val="Arial"/>
        <family val="2"/>
      </rPr>
      <t>=</t>
    </r>
  </si>
  <si>
    <r>
      <t>N</t>
    </r>
    <r>
      <rPr>
        <vertAlign val="subscript"/>
        <sz val="11"/>
        <rFont val="Arial"/>
        <family val="2"/>
      </rPr>
      <t xml:space="preserve">30 </t>
    </r>
    <r>
      <rPr>
        <sz val="11"/>
        <rFont val="Arial"/>
        <family val="2"/>
      </rPr>
      <t>=</t>
    </r>
  </si>
  <si>
    <r>
      <t>N</t>
    </r>
    <r>
      <rPr>
        <vertAlign val="subscript"/>
        <sz val="11"/>
        <rFont val="Arial"/>
        <family val="2"/>
      </rPr>
      <t xml:space="preserve">365 </t>
    </r>
    <r>
      <rPr>
        <sz val="11"/>
        <rFont val="Arial"/>
        <family val="2"/>
      </rPr>
      <t>=</t>
    </r>
  </si>
  <si>
    <r>
      <t>Days</t>
    </r>
    <r>
      <rPr>
        <i/>
        <vertAlign val="subscript"/>
        <sz val="11"/>
        <rFont val="Arial"/>
        <family val="2"/>
      </rPr>
      <t xml:space="preserve">1 </t>
    </r>
    <r>
      <rPr>
        <i/>
        <sz val="11"/>
        <rFont val="Arial"/>
        <family val="2"/>
      </rPr>
      <t>=</t>
    </r>
  </si>
  <si>
    <r>
      <t>σ</t>
    </r>
    <r>
      <rPr>
        <i/>
        <vertAlign val="subscript"/>
        <sz val="11"/>
        <rFont val="Arial"/>
        <family val="2"/>
      </rPr>
      <t>1</t>
    </r>
    <r>
      <rPr>
        <vertAlign val="superscript"/>
        <sz val="11"/>
        <rFont val="Arial"/>
        <family val="2"/>
      </rPr>
      <t xml:space="preserve">2 </t>
    </r>
    <r>
      <rPr>
        <sz val="11"/>
        <rFont val="Arial"/>
        <family val="2"/>
      </rPr>
      <t>=</t>
    </r>
  </si>
  <si>
    <r>
      <t>σ</t>
    </r>
    <r>
      <rPr>
        <i/>
        <vertAlign val="subscript"/>
        <sz val="11"/>
        <rFont val="Arial"/>
        <family val="2"/>
      </rPr>
      <t>2</t>
    </r>
    <r>
      <rPr>
        <vertAlign val="superscript"/>
        <sz val="11"/>
        <rFont val="Arial"/>
        <family val="2"/>
      </rPr>
      <t xml:space="preserve">2 </t>
    </r>
    <r>
      <rPr>
        <sz val="11"/>
        <rFont val="Arial"/>
        <family val="2"/>
      </rPr>
      <t>=</t>
    </r>
  </si>
  <si>
    <t>Contract Term</t>
  </si>
  <si>
    <t>Next Term Call Options</t>
  </si>
  <si>
    <t>Next Term Put Options</t>
  </si>
  <si>
    <t>Spot VIX</t>
  </si>
  <si>
    <t>Name</t>
  </si>
  <si>
    <t>'Federal Government of United States of America'</t>
  </si>
  <si>
    <t>MaturityDate</t>
  </si>
  <si>
    <t>IsActive</t>
  </si>
  <si>
    <t>Yes</t>
  </si>
  <si>
    <t>MATUR_DATE</t>
  </si>
  <si>
    <t>TR.FiPricingMeanYield</t>
  </si>
  <si>
    <t>Published VIX</t>
  </si>
  <si>
    <t>912796KR9=</t>
  </si>
  <si>
    <t>912796LY3=</t>
  </si>
  <si>
    <t>912796LZ0=</t>
  </si>
  <si>
    <t>&lt;2019-10-29</t>
  </si>
  <si>
    <t>FIViewTicker</t>
  </si>
  <si>
    <t>"USGOVT"</t>
  </si>
  <si>
    <t>912796MA4=</t>
  </si>
  <si>
    <t>912796KX6=</t>
  </si>
  <si>
    <t>912796MC0=</t>
  </si>
  <si>
    <t>912796MD8=</t>
  </si>
  <si>
    <t>912796LB3=</t>
  </si>
  <si>
    <t>912796LC1=</t>
  </si>
  <si>
    <t>912796LJ6=</t>
  </si>
  <si>
    <t>912796LN7=</t>
  </si>
  <si>
    <t>912796LS6=</t>
  </si>
  <si>
    <t>912796LX5=</t>
  </si>
  <si>
    <t>912796MB2=</t>
  </si>
  <si>
    <t>RCSGovtBondTypeGenealogy</t>
  </si>
  <si>
    <t>"A:123/A:124"</t>
  </si>
  <si>
    <t>912796ME6=</t>
  </si>
  <si>
    <t>912796MG1=</t>
  </si>
  <si>
    <t>912796MH9=</t>
  </si>
  <si>
    <t>912796MJ5=</t>
  </si>
  <si>
    <t>912796RK7=</t>
  </si>
  <si>
    <t>912796ML0=</t>
  </si>
  <si>
    <t>912796NN5=</t>
  </si>
  <si>
    <t>912796NP0=</t>
  </si>
  <si>
    <t>912796NR6=</t>
  </si>
  <si>
    <t>912796NS4=</t>
  </si>
  <si>
    <t>912796NT2=</t>
  </si>
  <si>
    <t>912796NU9=</t>
  </si>
  <si>
    <t>912796NW5=</t>
  </si>
  <si>
    <t>912796NX3=</t>
  </si>
  <si>
    <t>912796NY1=</t>
  </si>
  <si>
    <t>912796PA1=</t>
  </si>
  <si>
    <t>US912796PB95</t>
  </si>
  <si>
    <t>912796MF3=</t>
  </si>
  <si>
    <t>912796MK2=</t>
  </si>
  <si>
    <t>912796NQ8=</t>
  </si>
  <si>
    <t>912796NV7=</t>
  </si>
  <si>
    <t>912796NZ8=</t>
  </si>
  <si>
    <t>SPXWj111725400.U</t>
  </si>
  <si>
    <t>SPXWj111725450.U</t>
  </si>
  <si>
    <t>SPXWj111725500.U</t>
  </si>
  <si>
    <t>SPXWj111725550.U</t>
  </si>
  <si>
    <t>SPXWj111725600.U</t>
  </si>
  <si>
    <t>SPXWj131725400.U</t>
  </si>
  <si>
    <t>SPXWj131725450.U</t>
  </si>
  <si>
    <t>SPXWj131725500.U</t>
  </si>
  <si>
    <t>SPXWj131725550.U</t>
  </si>
  <si>
    <t>SPXWj131725600.U</t>
  </si>
  <si>
    <t>SPXWj161725400.U</t>
  </si>
  <si>
    <t>SPXWj161725450.U</t>
  </si>
  <si>
    <t>SPXWj161725500.U</t>
  </si>
  <si>
    <t>SPXWj161725550.U</t>
  </si>
  <si>
    <t>SPXWj161725600.U</t>
  </si>
  <si>
    <t>SPXWj181725400.U</t>
  </si>
  <si>
    <t>SPXWj181725450.U</t>
  </si>
  <si>
    <t>SPXWj181725500.U</t>
  </si>
  <si>
    <t>SPXWj181725550.U</t>
  </si>
  <si>
    <t>SPXWj181725600.U</t>
  </si>
  <si>
    <t>SPXj201725400.U</t>
  </si>
  <si>
    <t>SPXWj201725400.U</t>
  </si>
  <si>
    <t>SPXj201725450.U</t>
  </si>
  <si>
    <t>SPXWj201725450.U</t>
  </si>
  <si>
    <t>SPXj201725500.U</t>
  </si>
  <si>
    <t>SPXWj201725500.U</t>
  </si>
  <si>
    <t>SPXj201725550.U</t>
  </si>
  <si>
    <t>SPXWj201725550.U</t>
  </si>
  <si>
    <t>SPXj201725600.U</t>
  </si>
  <si>
    <t>SPXWj201725600.U</t>
  </si>
  <si>
    <t>SPXWj231725400.U</t>
  </si>
  <si>
    <t>SPXWj231725450.U</t>
  </si>
  <si>
    <t>SPXWj231725500.U</t>
  </si>
  <si>
    <t>SPXWj231725550.U</t>
  </si>
  <si>
    <t>SPXWj231725600.U</t>
  </si>
  <si>
    <t>SPXWj251725400.U</t>
  </si>
  <si>
    <t>SPXWj251725450.U</t>
  </si>
  <si>
    <t>SPXWj251725500.U</t>
  </si>
  <si>
    <t>SPXWj251725550.U</t>
  </si>
  <si>
    <t>SPXWj251725600.U</t>
  </si>
  <si>
    <t>SPXWj271725400.U</t>
  </si>
  <si>
    <t>SPXWj271725450.U</t>
  </si>
  <si>
    <t>SPXWj271725500.U</t>
  </si>
  <si>
    <t>SPXWj271725550.U</t>
  </si>
  <si>
    <t>SPXWj271725600.U</t>
  </si>
  <si>
    <t>SPXWj301725400.U</t>
  </si>
  <si>
    <t>SPXWj301725450.U</t>
  </si>
  <si>
    <t>SPXWj301725500.U</t>
  </si>
  <si>
    <t>SPXWj301725550.U</t>
  </si>
  <si>
    <t>SPXWj301725600.U</t>
  </si>
  <si>
    <t>SPXWj311725400.U</t>
  </si>
  <si>
    <t>SPXWj311725450.U</t>
  </si>
  <si>
    <t>SPXWj311725500.U</t>
  </si>
  <si>
    <t>SPXWj311725550.U</t>
  </si>
  <si>
    <t>SPXWj311725600.U</t>
  </si>
  <si>
    <t>SPXWk011725400.U</t>
  </si>
  <si>
    <t>SPXWk011725450.U</t>
  </si>
  <si>
    <t>SPXWk011725500.U</t>
  </si>
  <si>
    <t>SPXWk011725550.U</t>
  </si>
  <si>
    <t>SPXWk011725600.U</t>
  </si>
  <si>
    <t>SPXWk031725400.U</t>
  </si>
  <si>
    <t>SPXWk031725450.U</t>
  </si>
  <si>
    <t>SPXWk031725500.U</t>
  </si>
  <si>
    <t>SPXWk031725550.U</t>
  </si>
  <si>
    <t>SPXWk031725600.U</t>
  </si>
  <si>
    <t>SPXWk061725400.U</t>
  </si>
  <si>
    <t>SPXWk061725450.U</t>
  </si>
  <si>
    <t>SPXWk061725500.U</t>
  </si>
  <si>
    <t>SPXWk061725550.U</t>
  </si>
  <si>
    <t>SPXWk061725600.U</t>
  </si>
  <si>
    <t>SPXWk081725400.U</t>
  </si>
  <si>
    <t>SPXWk081725450.U</t>
  </si>
  <si>
    <t>SPXWk081725500.U</t>
  </si>
  <si>
    <t>SPXWk081725550.U</t>
  </si>
  <si>
    <t>SPXWk081725600.U</t>
  </si>
  <si>
    <t>SPXWk101725400.U</t>
  </si>
  <si>
    <t>SPXWk101725450.U</t>
  </si>
  <si>
    <t>SPXWk101725500.U</t>
  </si>
  <si>
    <t>SPXWk101725550.U</t>
  </si>
  <si>
    <t>SPXWk101725600.U</t>
  </si>
  <si>
    <t>SPXWk131725400.U</t>
  </si>
  <si>
    <t>SPXWk131725450.U</t>
  </si>
  <si>
    <t>SPXWk131725500.U</t>
  </si>
  <si>
    <t>SPXWk131725550.U</t>
  </si>
  <si>
    <t>SPXWk131725600.U</t>
  </si>
  <si>
    <t>SPXWk151725400.U</t>
  </si>
  <si>
    <t>SPXWk151725450.U</t>
  </si>
  <si>
    <t>SPXWk151725500.U</t>
  </si>
  <si>
    <t>SPXWk151725550.U</t>
  </si>
  <si>
    <t>SPXWk151725600.U</t>
  </si>
  <si>
    <t>SPXk171725400.U</t>
  </si>
  <si>
    <t>SPXWk171725400.U</t>
  </si>
  <si>
    <t>SPXk171725450.U</t>
  </si>
  <si>
    <t>SPXWk171725450.U</t>
  </si>
  <si>
    <t>SPXk171725500.U</t>
  </si>
  <si>
    <t>SPXWk171725500.U</t>
  </si>
  <si>
    <t>SPXk171725550.U</t>
  </si>
  <si>
    <t>SPXWk171725550.U</t>
  </si>
  <si>
    <t>SPXk171725600.U</t>
  </si>
  <si>
    <t>SPXWk171725600.U</t>
  </si>
  <si>
    <t>SPXWk241725400.U</t>
  </si>
  <si>
    <t>SPXWk241725450.U</t>
  </si>
  <si>
    <t>SPXWk241725500.U</t>
  </si>
  <si>
    <t>SPXWk241725550.U</t>
  </si>
  <si>
    <t>SPXWk241725600.U</t>
  </si>
  <si>
    <t>SPXWk061718000.U</t>
  </si>
  <si>
    <t>SPXWk061718500.U</t>
  </si>
  <si>
    <t>SPXWk061719000.U</t>
  </si>
  <si>
    <t>SPXWk061719500.U</t>
  </si>
  <si>
    <t>SPXWk061720000.U</t>
  </si>
  <si>
    <t>SPXWk061720250.U</t>
  </si>
  <si>
    <t>SPXWk061720500.U</t>
  </si>
  <si>
    <t>SPXWk061720750.U</t>
  </si>
  <si>
    <t>SPXWk061721000.U</t>
  </si>
  <si>
    <t>SPXWk061721250.U</t>
  </si>
  <si>
    <t>SPXWk061721500.U</t>
  </si>
  <si>
    <t>SPXWk061721750.U</t>
  </si>
  <si>
    <t>SPXWk061722000.U</t>
  </si>
  <si>
    <t>SPXWk061722250.U</t>
  </si>
  <si>
    <t>SPXWk061722300.U</t>
  </si>
  <si>
    <t>SPXWk061722400.U</t>
  </si>
  <si>
    <t>SPXWk061722500.U</t>
  </si>
  <si>
    <t>SPXWk061722600.U</t>
  </si>
  <si>
    <t>SPXWk061722700.U</t>
  </si>
  <si>
    <t>SPXWk061722750.U</t>
  </si>
  <si>
    <t>SPXWk061722800.U</t>
  </si>
  <si>
    <t>SPXWk061722900.U</t>
  </si>
  <si>
    <t>SPXWk061723000.U</t>
  </si>
  <si>
    <t>SPXWk061723100.U</t>
  </si>
  <si>
    <t>SPXWk061723200.U</t>
  </si>
  <si>
    <t>SPXWk061723250.U</t>
  </si>
  <si>
    <t>SPXWk061723300.U</t>
  </si>
  <si>
    <t>SPXWk061723400.U</t>
  </si>
  <si>
    <t>SPXWk061723500.U</t>
  </si>
  <si>
    <t>SPXWk061723550.U</t>
  </si>
  <si>
    <t>SPXWk061723600.U</t>
  </si>
  <si>
    <t>SPXWk061723650.U</t>
  </si>
  <si>
    <t>SPXWk061723700.U</t>
  </si>
  <si>
    <t>SPXWk061723750.U</t>
  </si>
  <si>
    <t>SPXWk061723800.U</t>
  </si>
  <si>
    <t>SPXWk061723850.U</t>
  </si>
  <si>
    <t>SPXWk061723900.U</t>
  </si>
  <si>
    <t>SPXWk061723950.U</t>
  </si>
  <si>
    <t>SPXWk061724000.U</t>
  </si>
  <si>
    <t>SPXWk061724050.U</t>
  </si>
  <si>
    <t>SPXWk061724100.U</t>
  </si>
  <si>
    <t>SPXWk061724150.U</t>
  </si>
  <si>
    <t>SPXWk061724200.U</t>
  </si>
  <si>
    <t>SPXWk061724250.U</t>
  </si>
  <si>
    <t>SPXWk061724300.U</t>
  </si>
  <si>
    <t>SPXWk061724350.U</t>
  </si>
  <si>
    <t>SPXWk061724400.U</t>
  </si>
  <si>
    <t>SPXWk061724450.U</t>
  </si>
  <si>
    <t>SPXWk061724500.U</t>
  </si>
  <si>
    <t>SPXWk061724550.U</t>
  </si>
  <si>
    <t>SPXWk061724600.U</t>
  </si>
  <si>
    <t>SPXWk061724650.U</t>
  </si>
  <si>
    <t>SPXWk061724700.U</t>
  </si>
  <si>
    <t>SPXWk061724750.U</t>
  </si>
  <si>
    <t>SPXWk061724800.U</t>
  </si>
  <si>
    <t>SPXWk061724850.U</t>
  </si>
  <si>
    <t>SPXWk061724900.U</t>
  </si>
  <si>
    <t>SPXWk061724950.U</t>
  </si>
  <si>
    <t>SPXWk061725000.U</t>
  </si>
  <si>
    <t>SPXWk061725050.U</t>
  </si>
  <si>
    <t>SPXWk061725100.U</t>
  </si>
  <si>
    <t>SPXWk061725150.U</t>
  </si>
  <si>
    <t>SPXWk061725200.U</t>
  </si>
  <si>
    <t>SPXWk061725250.U</t>
  </si>
  <si>
    <t>SPXWk061725300.U</t>
  </si>
  <si>
    <t>SPXWk061725350.U</t>
  </si>
  <si>
    <t>SPXWk061725650.U</t>
  </si>
  <si>
    <t>SPXWk061725700.U</t>
  </si>
  <si>
    <t>SPXWk061725750.U</t>
  </si>
  <si>
    <t>SPXWk061725800.U</t>
  </si>
  <si>
    <t>SPXWk061725850.U</t>
  </si>
  <si>
    <t>SPXWk061725900.U</t>
  </si>
  <si>
    <t>SPXWk061725950.U</t>
  </si>
  <si>
    <t>SPXWk061726000.U</t>
  </si>
  <si>
    <t>SPXWk061726050.U</t>
  </si>
  <si>
    <t>SPXWk061726100.U</t>
  </si>
  <si>
    <t>SPXWk061726150.U</t>
  </si>
  <si>
    <t>SPXWk061726200.U</t>
  </si>
  <si>
    <t>SPXWk061726250.U</t>
  </si>
  <si>
    <t>SPXWk061726300.U</t>
  </si>
  <si>
    <t>SPXWk061726400.U</t>
  </si>
  <si>
    <t>SPXWk061726500.U</t>
  </si>
  <si>
    <t>SPXWk061726600.U</t>
  </si>
  <si>
    <t>SPXWk061726700.U</t>
  </si>
  <si>
    <t>SPXWk061726750.U</t>
  </si>
  <si>
    <t>SPXWk061727000.U</t>
  </si>
  <si>
    <t>SPXWk061727250.U</t>
  </si>
  <si>
    <t>SPXWk061727500.U</t>
  </si>
  <si>
    <t>SPXWk061728000.U</t>
  </si>
  <si>
    <t>SPXWk061728500.U</t>
  </si>
  <si>
    <t>SPXWk061729000.U</t>
  </si>
  <si>
    <t>SPXWk131718000.U</t>
  </si>
  <si>
    <t>SPXWk131718500.U</t>
  </si>
  <si>
    <t>SPXWk131719000.U</t>
  </si>
  <si>
    <t>SPXWk131719500.U</t>
  </si>
  <si>
    <t>SPXWk131720000.U</t>
  </si>
  <si>
    <t>SPXWk131720500.U</t>
  </si>
  <si>
    <t>SPXWk131720750.U</t>
  </si>
  <si>
    <t>SPXWk131721000.U</t>
  </si>
  <si>
    <t>SPXWk131721250.U</t>
  </si>
  <si>
    <t>SPXWk131721500.U</t>
  </si>
  <si>
    <t>SPXWk131721750.U</t>
  </si>
  <si>
    <t>SPXWk131722000.U</t>
  </si>
  <si>
    <t>SPXWk131722250.U</t>
  </si>
  <si>
    <t>SPXWk131722500.U</t>
  </si>
  <si>
    <t>SPXWk131722700.U</t>
  </si>
  <si>
    <t>SPXWk131722750.U</t>
  </si>
  <si>
    <t>SPXWk131722800.U</t>
  </si>
  <si>
    <t>SPXWk131722900.U</t>
  </si>
  <si>
    <t>SPXWk131723000.U</t>
  </si>
  <si>
    <t>SPXWk131723100.U</t>
  </si>
  <si>
    <t>SPXWk131723200.U</t>
  </si>
  <si>
    <t>SPXWk131723250.U</t>
  </si>
  <si>
    <t>SPXWk131723300.U</t>
  </si>
  <si>
    <t>SPXWk131723400.U</t>
  </si>
  <si>
    <t>SPXWk131723500.U</t>
  </si>
  <si>
    <t>SPXWk131723600.U</t>
  </si>
  <si>
    <t>SPXWk131723700.U</t>
  </si>
  <si>
    <t>SPXWk131723750.U</t>
  </si>
  <si>
    <t>SPXWk131723800.U</t>
  </si>
  <si>
    <t>SPXWk131723900.U</t>
  </si>
  <si>
    <t>SPXWk131723950.U</t>
  </si>
  <si>
    <t>SPXWk131724000.U</t>
  </si>
  <si>
    <t>SPXWk131724050.U</t>
  </si>
  <si>
    <t>SPXWk131724100.U</t>
  </si>
  <si>
    <t>SPXWk131724150.U</t>
  </si>
  <si>
    <t>SPXWk131724200.U</t>
  </si>
  <si>
    <t>SPXWk131724250.U</t>
  </si>
  <si>
    <t>SPXWk131724300.U</t>
  </si>
  <si>
    <t>SPXWk131724350.U</t>
  </si>
  <si>
    <t>SPXWk131724400.U</t>
  </si>
  <si>
    <t>SPXWk131724450.U</t>
  </si>
  <si>
    <t>SPXWk131724500.U</t>
  </si>
  <si>
    <t>SPXWk131724550.U</t>
  </si>
  <si>
    <t>SPXWk131724600.U</t>
  </si>
  <si>
    <t>SPXWk131724650.U</t>
  </si>
  <si>
    <t>SPXWk131724700.U</t>
  </si>
  <si>
    <t>SPXWk131724750.U</t>
  </si>
  <si>
    <t>SPXWk131724800.U</t>
  </si>
  <si>
    <t>SPXWk131724850.U</t>
  </si>
  <si>
    <t>SPXWk131724900.U</t>
  </si>
  <si>
    <t>SPXWk131724950.U</t>
  </si>
  <si>
    <t>SPXWk131725000.U</t>
  </si>
  <si>
    <t>SPXWk131725050.U</t>
  </si>
  <si>
    <t>SPXWk131725100.U</t>
  </si>
  <si>
    <t>SPXWk131725150.U</t>
  </si>
  <si>
    <t>SPXWk131725200.U</t>
  </si>
  <si>
    <t>SPXWk131725250.U</t>
  </si>
  <si>
    <t>SPXWk131725300.U</t>
  </si>
  <si>
    <t>SPXWk131725350.U</t>
  </si>
  <si>
    <t>SPXWk131725650.U</t>
  </si>
  <si>
    <t>SPXWk131725700.U</t>
  </si>
  <si>
    <t>SPXWk131725750.U</t>
  </si>
  <si>
    <t>SPXWk131725800.U</t>
  </si>
  <si>
    <t>SPXWk131725850.U</t>
  </si>
  <si>
    <t>SPXWk131725900.U</t>
  </si>
  <si>
    <t>SPXWk131725950.U</t>
  </si>
  <si>
    <t>SPXWk131726000.U</t>
  </si>
  <si>
    <t>SPXWk131726050.U</t>
  </si>
  <si>
    <t>SPXWk131726100.U</t>
  </si>
  <si>
    <t>SPXWk131726150.U</t>
  </si>
  <si>
    <t>SPXWk131726200.U</t>
  </si>
  <si>
    <t>SPXWk131726250.U</t>
  </si>
  <si>
    <t>SPXWk131726300.U</t>
  </si>
  <si>
    <t>SPXWk131726400.U</t>
  </si>
  <si>
    <t>SPXWk131726500.U</t>
  </si>
  <si>
    <t>SPXWk131726600.U</t>
  </si>
  <si>
    <t>SPXWk131726700.U</t>
  </si>
  <si>
    <t>SPXWk131726750.U</t>
  </si>
  <si>
    <t>SPXWk131727000.U</t>
  </si>
  <si>
    <t>SPXWk131727250.U</t>
  </si>
  <si>
    <t>SPXWk131727500.U</t>
  </si>
  <si>
    <t>SPXWk131727750.U</t>
  </si>
  <si>
    <t>SPXWk131728000.U</t>
  </si>
  <si>
    <t>SPXWk131728500.U</t>
  </si>
  <si>
    <t>SPXWk131729000.U</t>
  </si>
  <si>
    <t>SPXWw131729000.U</t>
  </si>
  <si>
    <t>SPXWw131728500.U</t>
  </si>
  <si>
    <t>SPXWw131728000.U</t>
  </si>
  <si>
    <t>SPXWw131727750.U</t>
  </si>
  <si>
    <t>SPXWw131727500.U</t>
  </si>
  <si>
    <t>SPXWw131727250.U</t>
  </si>
  <si>
    <t>SPXWw131727000.U</t>
  </si>
  <si>
    <t>SPXWw131726750.U</t>
  </si>
  <si>
    <t>SPXWw131726700.U</t>
  </si>
  <si>
    <t>SPXWw131726600.U</t>
  </si>
  <si>
    <t>SPXWw131726500.U</t>
  </si>
  <si>
    <t>SPXWw131726400.U</t>
  </si>
  <si>
    <t>SPXWw131726300.U</t>
  </si>
  <si>
    <t>SPXWw131726250.U</t>
  </si>
  <si>
    <t>SPXWw131726200.U</t>
  </si>
  <si>
    <t>SPXWw131726150.U</t>
  </si>
  <si>
    <t>SPXWw131726100.U</t>
  </si>
  <si>
    <t>SPXWw131726050.U</t>
  </si>
  <si>
    <t>SPXWw131726000.U</t>
  </si>
  <si>
    <t>SPXWw131725950.U</t>
  </si>
  <si>
    <t>SPXWw131725900.U</t>
  </si>
  <si>
    <t>SPXWw131725850.U</t>
  </si>
  <si>
    <t>SPXWw131725800.U</t>
  </si>
  <si>
    <t>SPXWw131725750.U</t>
  </si>
  <si>
    <t>SPXWw131725700.U</t>
  </si>
  <si>
    <t>SPXWw131725650.U</t>
  </si>
  <si>
    <t>SPXWw131725600.U</t>
  </si>
  <si>
    <t>SPXWw131725550.U</t>
  </si>
  <si>
    <t>SPXWw131725500.U</t>
  </si>
  <si>
    <t>SPXWw131725450.U</t>
  </si>
  <si>
    <t>SPXWw131725400.U</t>
  </si>
  <si>
    <t>SPXWw131725350.U</t>
  </si>
  <si>
    <t>SPXWw131725300.U</t>
  </si>
  <si>
    <t>SPXWw131725250.U</t>
  </si>
  <si>
    <t>SPXWw131725200.U</t>
  </si>
  <si>
    <t>SPXWw131725150.U</t>
  </si>
  <si>
    <t>SPXWw131725100.U</t>
  </si>
  <si>
    <t>SPXWw131725050.U</t>
  </si>
  <si>
    <t>SPXWw131725000.U</t>
  </si>
  <si>
    <t>SPXWw131724950.U</t>
  </si>
  <si>
    <t>SPXWw131724900.U</t>
  </si>
  <si>
    <t>SPXWw131724850.U</t>
  </si>
  <si>
    <t>SPXWw131724800.U</t>
  </si>
  <si>
    <t>SPXWw131724750.U</t>
  </si>
  <si>
    <t>SPXWw131724700.U</t>
  </si>
  <si>
    <t>SPXWw131724650.U</t>
  </si>
  <si>
    <t>SPXWw131724600.U</t>
  </si>
  <si>
    <t>SPXWw131724550.U</t>
  </si>
  <si>
    <t>SPXWw131724500.U</t>
  </si>
  <si>
    <t>SPXWw131724450.U</t>
  </si>
  <si>
    <t>SPXWw131724400.U</t>
  </si>
  <si>
    <t>SPXWw131724350.U</t>
  </si>
  <si>
    <t>SPXWw131724300.U</t>
  </si>
  <si>
    <t>SPXWw131724250.U</t>
  </si>
  <si>
    <t>SPXWw131724200.U</t>
  </si>
  <si>
    <t>SPXWw131724150.U</t>
  </si>
  <si>
    <t>SPXWw131724100.U</t>
  </si>
  <si>
    <t>SPXWw131724050.U</t>
  </si>
  <si>
    <t>SPXWw131724000.U</t>
  </si>
  <si>
    <t>SPXWw131723950.U</t>
  </si>
  <si>
    <t>SPXWw131723900.U</t>
  </si>
  <si>
    <t>SPXWw131723800.U</t>
  </si>
  <si>
    <t>SPXWw131723750.U</t>
  </si>
  <si>
    <t>SPXWw131723700.U</t>
  </si>
  <si>
    <t>SPXWw131723600.U</t>
  </si>
  <si>
    <t>SPXWw131723500.U</t>
  </si>
  <si>
    <t>SPXWw131723400.U</t>
  </si>
  <si>
    <t>SPXWw131723300.U</t>
  </si>
  <si>
    <t>SPXWw131723250.U</t>
  </si>
  <si>
    <t>SPXWw131723200.U</t>
  </si>
  <si>
    <t>SPXWw131723100.U</t>
  </si>
  <si>
    <t>SPXWw131723000.U</t>
  </si>
  <si>
    <t>SPXWw131722900.U</t>
  </si>
  <si>
    <t>SPXWw131722800.U</t>
  </si>
  <si>
    <t>SPXWw131722750.U</t>
  </si>
  <si>
    <t>SPXWw131722700.U</t>
  </si>
  <si>
    <t>SPXWw131722500.U</t>
  </si>
  <si>
    <t>SPXWw131722250.U</t>
  </si>
  <si>
    <t>SPXWw131722000.U</t>
  </si>
  <si>
    <t>SPXWw131721750.U</t>
  </si>
  <si>
    <t>SPXWw131721500.U</t>
  </si>
  <si>
    <t>SPXWw131721250.U</t>
  </si>
  <si>
    <t>SPXWw131721000.U</t>
  </si>
  <si>
    <t>SPXWw131720750.U</t>
  </si>
  <si>
    <t>SPXWw131720500.U</t>
  </si>
  <si>
    <t>SPXWw131720000.U</t>
  </si>
  <si>
    <t>SPXWw131719500.U</t>
  </si>
  <si>
    <t>SPXWw131719000.U</t>
  </si>
  <si>
    <t>SPXWw131718500.U</t>
  </si>
  <si>
    <t>SPXWw131718000.U</t>
  </si>
  <si>
    <t>SPXWw131717500.U</t>
  </si>
  <si>
    <t>SPXWw131717000.U</t>
  </si>
  <si>
    <t>SPXWw131716000.U</t>
  </si>
  <si>
    <t>SPXWw061729000.U</t>
  </si>
  <si>
    <t>SPXWw061728500.U</t>
  </si>
  <si>
    <t>SPXWw061728000.U</t>
  </si>
  <si>
    <t>SPXWw061727500.U</t>
  </si>
  <si>
    <t>SPXWw061727250.U</t>
  </si>
  <si>
    <t>SPXWw061727000.U</t>
  </si>
  <si>
    <t>SPXWw061726750.U</t>
  </si>
  <si>
    <t>SPXWw061726700.U</t>
  </si>
  <si>
    <t>SPXWw061726600.U</t>
  </si>
  <si>
    <t>SPXWw061726500.U</t>
  </si>
  <si>
    <t>SPXWw061726400.U</t>
  </si>
  <si>
    <t>SPXWw061726300.U</t>
  </si>
  <si>
    <t>SPXWw061726250.U</t>
  </si>
  <si>
    <t>SPXWw061726200.U</t>
  </si>
  <si>
    <t>SPXWw061726150.U</t>
  </si>
  <si>
    <t>SPXWw061726100.U</t>
  </si>
  <si>
    <t>SPXWw061726050.U</t>
  </si>
  <si>
    <t>SPXWw061726000.U</t>
  </si>
  <si>
    <t>SPXWw061725950.U</t>
  </si>
  <si>
    <t>SPXWw061725900.U</t>
  </si>
  <si>
    <t>SPXWw061725850.U</t>
  </si>
  <si>
    <t>SPXWw061725800.U</t>
  </si>
  <si>
    <t>SPXWw061725750.U</t>
  </si>
  <si>
    <t>SPXWw061725700.U</t>
  </si>
  <si>
    <t>SPXWw061725650.U</t>
  </si>
  <si>
    <t>SPXWw061725600.U</t>
  </si>
  <si>
    <t>SPXWw061725550.U</t>
  </si>
  <si>
    <t>SPXWw061725500.U</t>
  </si>
  <si>
    <t>SPXWw061725450.U</t>
  </si>
  <si>
    <t>SPXWw061725400.U</t>
  </si>
  <si>
    <t>SPXWw061725350.U</t>
  </si>
  <si>
    <t>SPXWw061725300.U</t>
  </si>
  <si>
    <t>SPXWw061725250.U</t>
  </si>
  <si>
    <t>SPXWw061725200.U</t>
  </si>
  <si>
    <t>SPXWw061725150.U</t>
  </si>
  <si>
    <t>SPXWw061725100.U</t>
  </si>
  <si>
    <t>SPXWw061725050.U</t>
  </si>
  <si>
    <t>SPXWw061725000.U</t>
  </si>
  <si>
    <t>SPXWw061724950.U</t>
  </si>
  <si>
    <t>SPXWw061724900.U</t>
  </si>
  <si>
    <t>SPXWw061724850.U</t>
  </si>
  <si>
    <t>SPXWw061724800.U</t>
  </si>
  <si>
    <t>SPXWw061724750.U</t>
  </si>
  <si>
    <t>SPXWw061724700.U</t>
  </si>
  <si>
    <t>SPXWw061724650.U</t>
  </si>
  <si>
    <t>SPXWw061724600.U</t>
  </si>
  <si>
    <t>SPXWw061724550.U</t>
  </si>
  <si>
    <t>SPXWw061724500.U</t>
  </si>
  <si>
    <t>SPXWw061724450.U</t>
  </si>
  <si>
    <t>SPXWw061724400.U</t>
  </si>
  <si>
    <t>SPXWw061724350.U</t>
  </si>
  <si>
    <t>SPXWw061724300.U</t>
  </si>
  <si>
    <t>SPXWw061724250.U</t>
  </si>
  <si>
    <t>SPXWw061724200.U</t>
  </si>
  <si>
    <t>SPXWw061724150.U</t>
  </si>
  <si>
    <t>SPXWw061724100.U</t>
  </si>
  <si>
    <t>SPXWw061724050.U</t>
  </si>
  <si>
    <t>SPXWw061724000.U</t>
  </si>
  <si>
    <t>SPXWw061723950.U</t>
  </si>
  <si>
    <t>SPXWw061723900.U</t>
  </si>
  <si>
    <t>SPXWw061723850.U</t>
  </si>
  <si>
    <t>SPXWw061723800.U</t>
  </si>
  <si>
    <t>SPXWw061723750.U</t>
  </si>
  <si>
    <t>SPXWw061723700.U</t>
  </si>
  <si>
    <t>SPXWw061723650.U</t>
  </si>
  <si>
    <t>SPXWw061723600.U</t>
  </si>
  <si>
    <t>SPXWw061723550.U</t>
  </si>
  <si>
    <t>SPXWw061723500.U</t>
  </si>
  <si>
    <t>SPXWw061723400.U</t>
  </si>
  <si>
    <t>SPXWw061723300.U</t>
  </si>
  <si>
    <t>SPXWw061723250.U</t>
  </si>
  <si>
    <t>SPXWw061723200.U</t>
  </si>
  <si>
    <t>SPXWw061723100.U</t>
  </si>
  <si>
    <t>SPXWw061723000.U</t>
  </si>
  <si>
    <t>SPXWw061722900.U</t>
  </si>
  <si>
    <t>SPXWw061722800.U</t>
  </si>
  <si>
    <t>SPXWw061722750.U</t>
  </si>
  <si>
    <t>SPXWw061722700.U</t>
  </si>
  <si>
    <t>SPXWw061722600.U</t>
  </si>
  <si>
    <t>SPXWw061722500.U</t>
  </si>
  <si>
    <t>SPXWw061722400.U</t>
  </si>
  <si>
    <t>SPXWw061722300.U</t>
  </si>
  <si>
    <t>SPXWw061722250.U</t>
  </si>
  <si>
    <t>SPXWw061722000.U</t>
  </si>
  <si>
    <t>SPXWw061721750.U</t>
  </si>
  <si>
    <t>SPXWw061721500.U</t>
  </si>
  <si>
    <t>SPXWw061721250.U</t>
  </si>
  <si>
    <t>SPXWw061721000.U</t>
  </si>
  <si>
    <t>SPXWw061720750.U</t>
  </si>
  <si>
    <t>SPXWw061720500.U</t>
  </si>
  <si>
    <t>SPXWw061720250.U</t>
  </si>
  <si>
    <t>SPXWw061720000.U</t>
  </si>
  <si>
    <t>SPXWw061719500.U</t>
  </si>
  <si>
    <t>SPXWw061719000.U</t>
  </si>
  <si>
    <t>SPXWw061718500.U</t>
  </si>
  <si>
    <t>SPXWw061718000.U</t>
  </si>
  <si>
    <t>SPXWw061717500.U</t>
  </si>
  <si>
    <t>SPXWw061717000.U</t>
  </si>
  <si>
    <t>SPXWw061716500.U</t>
  </si>
  <si>
    <t>SPXWw061716000.U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</si>
</sst>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9">
    <numFmt numFmtId="43" formatCode="_(* #,##0.00_);_(* \(#,##0.00\);_(* &quot;-&quot;??_);_(@_)"/>
    <numFmt numFmtId="164" formatCode="0.0"/>
    <numFmt numFmtId="165" formatCode="0.000"/>
    <numFmt numFmtId="166" formatCode="[$-409]d\-mmm\-yy;@"/>
    <numFmt numFmtId="167" formatCode="0.0000000"/>
    <numFmt numFmtId="168" formatCode="h:mm;@"/>
    <numFmt numFmtId="169" formatCode="0.00000"/>
    <numFmt numFmtId="170" formatCode="0.000000000000"/>
    <numFmt numFmtId="171" formatCode="0.000000000"/>
  </numFmts>
  <fonts count="15" x14ac:knownFonts="1">
    <font>
      <sz val="10"/>
      <name val="Arial"/>
    </font>
    <font>
      <sz val="10"/>
      <name val="Arial"/>
      <family val="2"/>
    </font>
    <font>
      <b/>
      <sz val="10"/>
      <name val="Arial"/>
      <family val="2"/>
    </font>
    <font>
      <i/>
      <sz val="10"/>
      <name val="Arial"/>
      <family val="2"/>
    </font>
    <font>
      <vertAlign val="subscript"/>
      <sz val="10"/>
      <name val="Arial"/>
      <family val="2"/>
    </font>
    <font>
      <sz val="10"/>
      <name val="Arial"/>
      <family val="2"/>
    </font>
    <font>
      <b/>
      <i/>
      <sz val="10"/>
      <name val="Arial"/>
      <family val="2"/>
    </font>
    <font>
      <sz val="11"/>
      <name val="Arial"/>
      <family val="2"/>
    </font>
    <font>
      <i/>
      <sz val="11"/>
      <name val="Arial"/>
      <family val="2"/>
    </font>
    <font>
      <i/>
      <vertAlign val="subscript"/>
      <sz val="11"/>
      <name val="Arial"/>
      <family val="2"/>
    </font>
    <font>
      <vertAlign val="superscript"/>
      <sz val="11"/>
      <name val="Arial"/>
      <family val="2"/>
    </font>
    <font>
      <vertAlign val="subscript"/>
      <sz val="11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0"/>
      <color rgb="FF000000"/>
      <name val="Arial"/>
      <family val="2"/>
    </font>
  </fonts>
  <fills count="8">
    <fill>
      <patternFill patternType="none"/>
    </fill>
    <fill>
      <patternFill patternType="gray125"/>
    </fill>
    <fill>
      <patternFill patternType="solid">
        <fgColor theme="5" tint="0.39997558519241921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990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1" tint="0.249977111117893"/>
        <bgColor indexed="64"/>
      </patternFill>
    </fill>
  </fills>
  <borders count="1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</borders>
  <cellStyleXfs count="3">
    <xf numFmtId="0" fontId="0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99">
    <xf numFmtId="0" fontId="0" fillId="0" borderId="0" xfId="0"/>
    <xf numFmtId="15" fontId="3" fillId="0" borderId="0" xfId="0" applyNumberFormat="1" applyFont="1" applyAlignment="1">
      <alignment horizontal="right"/>
    </xf>
    <xf numFmtId="165" fontId="2" fillId="0" borderId="0" xfId="0" applyNumberFormat="1" applyFont="1" applyAlignment="1">
      <alignment horizontal="center"/>
    </xf>
    <xf numFmtId="165" fontId="5" fillId="0" borderId="0" xfId="0" applyNumberFormat="1" applyFont="1" applyAlignment="1">
      <alignment horizontal="center"/>
    </xf>
    <xf numFmtId="0" fontId="5" fillId="0" borderId="0" xfId="0" applyFont="1"/>
    <xf numFmtId="0" fontId="5" fillId="0" borderId="0" xfId="0" applyFont="1" applyAlignment="1">
      <alignment horizontal="center"/>
    </xf>
    <xf numFmtId="1" fontId="5" fillId="0" borderId="0" xfId="0" applyNumberFormat="1" applyFont="1" applyAlignment="1">
      <alignment horizontal="center"/>
    </xf>
    <xf numFmtId="0" fontId="2" fillId="0" borderId="0" xfId="0" applyFont="1" applyAlignment="1">
      <alignment horizontal="left"/>
    </xf>
    <xf numFmtId="167" fontId="5" fillId="0" borderId="0" xfId="0" quotePrefix="1" applyNumberFormat="1" applyFont="1" applyAlignment="1">
      <alignment horizontal="center"/>
    </xf>
    <xf numFmtId="15" fontId="5" fillId="0" borderId="0" xfId="0" applyNumberFormat="1" applyFont="1" applyBorder="1" applyAlignment="1">
      <alignment horizontal="center"/>
    </xf>
    <xf numFmtId="0" fontId="3" fillId="0" borderId="0" xfId="0" applyFont="1"/>
    <xf numFmtId="0" fontId="3" fillId="0" borderId="0" xfId="0" applyFont="1" applyAlignment="1">
      <alignment horizontal="center"/>
    </xf>
    <xf numFmtId="0" fontId="6" fillId="0" borderId="0" xfId="0" applyFont="1" applyAlignment="1">
      <alignment horizontal="center"/>
    </xf>
    <xf numFmtId="0" fontId="5" fillId="2" borderId="0" xfId="0" applyFont="1" applyFill="1" applyAlignment="1">
      <alignment horizontal="center"/>
    </xf>
    <xf numFmtId="15" fontId="5" fillId="2" borderId="0" xfId="0" applyNumberFormat="1" applyFont="1" applyFill="1" applyBorder="1" applyAlignment="1">
      <alignment horizontal="center"/>
    </xf>
    <xf numFmtId="165" fontId="5" fillId="2" borderId="0" xfId="0" applyNumberFormat="1" applyFont="1" applyFill="1" applyAlignment="1">
      <alignment horizontal="center"/>
    </xf>
    <xf numFmtId="165" fontId="2" fillId="2" borderId="0" xfId="0" applyNumberFormat="1" applyFont="1" applyFill="1" applyAlignment="1">
      <alignment horizontal="center"/>
    </xf>
    <xf numFmtId="0" fontId="5" fillId="2" borderId="0" xfId="0" applyFont="1" applyFill="1"/>
    <xf numFmtId="0" fontId="0" fillId="0" borderId="0" xfId="0" quotePrefix="1"/>
    <xf numFmtId="14" fontId="0" fillId="0" borderId="0" xfId="0" quotePrefix="1" applyNumberFormat="1"/>
    <xf numFmtId="14" fontId="0" fillId="0" borderId="0" xfId="0" applyNumberFormat="1"/>
    <xf numFmtId="0" fontId="0" fillId="0" borderId="0" xfId="0" quotePrefix="1" applyAlignment="1">
      <alignment horizontal="right"/>
    </xf>
    <xf numFmtId="49" fontId="0" fillId="0" borderId="0" xfId="0" quotePrefix="1" applyNumberFormat="1"/>
    <xf numFmtId="9" fontId="0" fillId="0" borderId="0" xfId="2" quotePrefix="1" applyFont="1" applyAlignment="1">
      <alignment horizontal="right"/>
    </xf>
    <xf numFmtId="9" fontId="5" fillId="3" borderId="7" xfId="2" applyFont="1" applyFill="1" applyBorder="1" applyAlignment="1">
      <alignment horizontal="center"/>
    </xf>
    <xf numFmtId="15" fontId="5" fillId="3" borderId="4" xfId="0" applyNumberFormat="1" applyFont="1" applyFill="1" applyBorder="1" applyAlignment="1">
      <alignment horizontal="right"/>
    </xf>
    <xf numFmtId="14" fontId="5" fillId="3" borderId="5" xfId="0" applyNumberFormat="1" applyFont="1" applyFill="1" applyBorder="1" applyAlignment="1">
      <alignment horizontal="right"/>
    </xf>
    <xf numFmtId="0" fontId="5" fillId="0" borderId="0" xfId="0" quotePrefix="1" applyFont="1"/>
    <xf numFmtId="0" fontId="5" fillId="0" borderId="0" xfId="0" quotePrefix="1" applyFont="1" applyAlignment="1">
      <alignment horizontal="center"/>
    </xf>
    <xf numFmtId="164" fontId="5" fillId="0" borderId="0" xfId="0" applyNumberFormat="1" applyFont="1" applyAlignment="1">
      <alignment horizontal="center"/>
    </xf>
    <xf numFmtId="164" fontId="5" fillId="0" borderId="0" xfId="0" applyNumberFormat="1" applyFont="1" applyAlignment="1"/>
    <xf numFmtId="0" fontId="5" fillId="4" borderId="3" xfId="0" applyFont="1" applyFill="1" applyBorder="1" applyAlignment="1">
      <alignment horizontal="center"/>
    </xf>
    <xf numFmtId="0" fontId="3" fillId="4" borderId="2" xfId="0" applyFont="1" applyFill="1" applyBorder="1" applyAlignment="1">
      <alignment horizontal="right"/>
    </xf>
    <xf numFmtId="43" fontId="5" fillId="3" borderId="11" xfId="1" applyFont="1" applyFill="1" applyBorder="1" applyAlignment="1">
      <alignment horizontal="center"/>
    </xf>
    <xf numFmtId="169" fontId="1" fillId="0" borderId="0" xfId="0" applyNumberFormat="1" applyFont="1" applyAlignment="1">
      <alignment horizontal="center"/>
    </xf>
    <xf numFmtId="165" fontId="5" fillId="3" borderId="11" xfId="2" applyNumberFormat="1" applyFont="1" applyFill="1" applyBorder="1" applyAlignment="1">
      <alignment horizontal="center"/>
    </xf>
    <xf numFmtId="0" fontId="5" fillId="0" borderId="0" xfId="0" applyFont="1" applyFill="1" applyBorder="1" applyAlignment="1">
      <alignment horizontal="right"/>
    </xf>
    <xf numFmtId="9" fontId="5" fillId="0" borderId="0" xfId="2" applyFont="1" applyFill="1" applyBorder="1" applyAlignment="1">
      <alignment horizontal="center"/>
    </xf>
    <xf numFmtId="43" fontId="5" fillId="0" borderId="0" xfId="1" applyFont="1" applyFill="1" applyBorder="1" applyAlignment="1">
      <alignment horizontal="center"/>
    </xf>
    <xf numFmtId="0" fontId="1" fillId="0" borderId="0" xfId="0" applyFont="1" applyFill="1" applyBorder="1" applyAlignment="1">
      <alignment horizontal="right"/>
    </xf>
    <xf numFmtId="168" fontId="5" fillId="0" borderId="0" xfId="0" applyNumberFormat="1" applyFont="1" applyFill="1" applyBorder="1" applyAlignment="1">
      <alignment horizontal="center"/>
    </xf>
    <xf numFmtId="0" fontId="1" fillId="3" borderId="2" xfId="0" applyFont="1" applyFill="1" applyBorder="1" applyAlignment="1">
      <alignment horizontal="right"/>
    </xf>
    <xf numFmtId="165" fontId="5" fillId="3" borderId="3" xfId="2" applyNumberFormat="1" applyFont="1" applyFill="1" applyBorder="1" applyAlignment="1">
      <alignment horizontal="center"/>
    </xf>
    <xf numFmtId="0" fontId="7" fillId="0" borderId="6" xfId="0" applyFont="1" applyBorder="1" applyAlignment="1">
      <alignment horizontal="right"/>
    </xf>
    <xf numFmtId="166" fontId="5" fillId="0" borderId="7" xfId="0" applyNumberFormat="1" applyFont="1" applyBorder="1" applyAlignment="1">
      <alignment horizontal="center"/>
    </xf>
    <xf numFmtId="0" fontId="7" fillId="0" borderId="10" xfId="0" applyFont="1" applyBorder="1" applyAlignment="1">
      <alignment horizontal="right"/>
    </xf>
    <xf numFmtId="166" fontId="5" fillId="0" borderId="11" xfId="0" applyNumberFormat="1" applyFont="1" applyBorder="1" applyAlignment="1">
      <alignment horizontal="center"/>
    </xf>
    <xf numFmtId="0" fontId="8" fillId="0" borderId="10" xfId="0" applyFont="1" applyBorder="1" applyAlignment="1">
      <alignment horizontal="right"/>
    </xf>
    <xf numFmtId="1" fontId="5" fillId="0" borderId="11" xfId="0" applyNumberFormat="1" applyFont="1" applyBorder="1" applyAlignment="1">
      <alignment horizontal="center"/>
    </xf>
    <xf numFmtId="169" fontId="7" fillId="0" borderId="10" xfId="0" applyNumberFormat="1" applyFont="1" applyBorder="1" applyAlignment="1">
      <alignment horizontal="right"/>
    </xf>
    <xf numFmtId="2" fontId="1" fillId="0" borderId="11" xfId="0" quotePrefix="1" applyNumberFormat="1" applyFont="1" applyBorder="1" applyAlignment="1">
      <alignment horizontal="center"/>
    </xf>
    <xf numFmtId="1" fontId="5" fillId="0" borderId="11" xfId="0" quotePrefix="1" applyNumberFormat="1" applyFont="1" applyBorder="1" applyAlignment="1">
      <alignment horizontal="center"/>
    </xf>
    <xf numFmtId="15" fontId="8" fillId="0" borderId="8" xfId="0" applyNumberFormat="1" applyFont="1" applyBorder="1" applyAlignment="1">
      <alignment horizontal="right"/>
    </xf>
    <xf numFmtId="167" fontId="5" fillId="0" borderId="9" xfId="0" quotePrefix="1" applyNumberFormat="1" applyFont="1" applyBorder="1" applyAlignment="1">
      <alignment horizontal="center"/>
    </xf>
    <xf numFmtId="166" fontId="7" fillId="0" borderId="7" xfId="0" applyNumberFormat="1" applyFont="1" applyBorder="1" applyAlignment="1">
      <alignment horizontal="center"/>
    </xf>
    <xf numFmtId="166" fontId="7" fillId="0" borderId="11" xfId="0" applyNumberFormat="1" applyFont="1" applyBorder="1" applyAlignment="1">
      <alignment horizontal="center"/>
    </xf>
    <xf numFmtId="1" fontId="7" fillId="0" borderId="11" xfId="0" applyNumberFormat="1" applyFont="1" applyBorder="1" applyAlignment="1">
      <alignment horizontal="center"/>
    </xf>
    <xf numFmtId="2" fontId="7" fillId="0" borderId="11" xfId="0" quotePrefix="1" applyNumberFormat="1" applyFont="1" applyBorder="1" applyAlignment="1">
      <alignment horizontal="center"/>
    </xf>
    <xf numFmtId="1" fontId="7" fillId="0" borderId="11" xfId="0" quotePrefix="1" applyNumberFormat="1" applyFont="1" applyBorder="1" applyAlignment="1">
      <alignment horizontal="center"/>
    </xf>
    <xf numFmtId="167" fontId="7" fillId="0" borderId="9" xfId="0" quotePrefix="1" applyNumberFormat="1" applyFont="1" applyBorder="1" applyAlignment="1">
      <alignment horizontal="center"/>
    </xf>
    <xf numFmtId="171" fontId="7" fillId="0" borderId="11" xfId="0" quotePrefix="1" applyNumberFormat="1" applyFont="1" applyBorder="1" applyAlignment="1">
      <alignment horizontal="center"/>
    </xf>
    <xf numFmtId="0" fontId="1" fillId="0" borderId="0" xfId="0" applyFont="1" applyAlignment="1">
      <alignment horizontal="center"/>
    </xf>
    <xf numFmtId="0" fontId="7" fillId="0" borderId="0" xfId="0" applyFont="1" applyAlignment="1">
      <alignment horizontal="center"/>
    </xf>
    <xf numFmtId="168" fontId="5" fillId="3" borderId="11" xfId="0" applyNumberFormat="1" applyFont="1" applyFill="1" applyBorder="1" applyAlignment="1">
      <alignment horizontal="center"/>
    </xf>
    <xf numFmtId="0" fontId="5" fillId="3" borderId="9" xfId="0" applyFont="1" applyFill="1" applyBorder="1" applyAlignment="1">
      <alignment horizontal="center"/>
    </xf>
    <xf numFmtId="0" fontId="1" fillId="3" borderId="2" xfId="0" applyFont="1" applyFill="1" applyBorder="1" applyAlignment="1">
      <alignment horizontal="center"/>
    </xf>
    <xf numFmtId="0" fontId="5" fillId="3" borderId="3" xfId="0" applyFont="1" applyFill="1" applyBorder="1" applyAlignment="1">
      <alignment horizontal="center"/>
    </xf>
    <xf numFmtId="169" fontId="5" fillId="0" borderId="0" xfId="0" applyNumberFormat="1" applyFont="1" applyAlignment="1">
      <alignment horizontal="center"/>
    </xf>
    <xf numFmtId="49" fontId="0" fillId="0" borderId="0" xfId="0" quotePrefix="1" applyNumberFormat="1" applyAlignment="1">
      <alignment horizontal="right"/>
    </xf>
    <xf numFmtId="49" fontId="0" fillId="0" borderId="0" xfId="0" applyNumberFormat="1"/>
    <xf numFmtId="2" fontId="0" fillId="0" borderId="0" xfId="0" applyNumberFormat="1"/>
    <xf numFmtId="49" fontId="1" fillId="0" borderId="0" xfId="0" quotePrefix="1" applyNumberFormat="1" applyFont="1"/>
    <xf numFmtId="14" fontId="1" fillId="0" borderId="0" xfId="0" quotePrefix="1" applyNumberFormat="1" applyFont="1"/>
    <xf numFmtId="170" fontId="0" fillId="0" borderId="0" xfId="0" quotePrefix="1" applyNumberFormat="1"/>
    <xf numFmtId="2" fontId="5" fillId="2" borderId="12" xfId="0" applyNumberFormat="1" applyFont="1" applyFill="1" applyBorder="1" applyAlignment="1">
      <alignment horizontal="center"/>
    </xf>
    <xf numFmtId="2" fontId="5" fillId="5" borderId="12" xfId="0" applyNumberFormat="1" applyFont="1" applyFill="1" applyBorder="1" applyAlignment="1">
      <alignment horizontal="center"/>
    </xf>
    <xf numFmtId="49" fontId="1" fillId="0" borderId="0" xfId="0" applyNumberFormat="1" applyFont="1"/>
    <xf numFmtId="0" fontId="5" fillId="0" borderId="0" xfId="0" quotePrefix="1" applyFont="1" applyAlignment="1">
      <alignment horizontal="left"/>
    </xf>
    <xf numFmtId="0" fontId="0" fillId="0" borderId="0" xfId="0" quotePrefix="1" applyAlignment="1">
      <alignment horizontal="left"/>
    </xf>
    <xf numFmtId="0" fontId="5" fillId="0" borderId="0" xfId="0" applyFont="1" applyAlignment="1">
      <alignment horizontal="left"/>
    </xf>
    <xf numFmtId="165" fontId="5" fillId="0" borderId="0" xfId="0" quotePrefix="1" applyNumberFormat="1" applyFont="1" applyAlignment="1">
      <alignment horizontal="left"/>
    </xf>
    <xf numFmtId="14" fontId="0" fillId="4" borderId="0" xfId="0" applyNumberFormat="1" applyFill="1"/>
    <xf numFmtId="14" fontId="0" fillId="0" borderId="0" xfId="0" quotePrefix="1" applyNumberFormat="1" applyFill="1"/>
    <xf numFmtId="49" fontId="1" fillId="0" borderId="0" xfId="2" quotePrefix="1" applyNumberFormat="1" applyFont="1" applyAlignment="1">
      <alignment horizontal="right"/>
    </xf>
    <xf numFmtId="49" fontId="1" fillId="0" borderId="0" xfId="0" quotePrefix="1" applyNumberFormat="1" applyFont="1" applyAlignment="1">
      <alignment horizontal="right"/>
    </xf>
    <xf numFmtId="14" fontId="0" fillId="6" borderId="0" xfId="0" quotePrefix="1" applyNumberFormat="1" applyFill="1"/>
    <xf numFmtId="0" fontId="0" fillId="7" borderId="0" xfId="0" applyFill="1"/>
    <xf numFmtId="0" fontId="5" fillId="7" borderId="0" xfId="0" applyFont="1" applyFill="1" applyAlignment="1">
      <alignment horizontal="center"/>
    </xf>
    <xf numFmtId="0" fontId="5" fillId="7" borderId="0" xfId="0" applyFont="1" applyFill="1"/>
    <xf numFmtId="0" fontId="5" fillId="7" borderId="0" xfId="0" applyFont="1" applyFill="1" applyAlignment="1">
      <alignment horizontal="left"/>
    </xf>
    <xf numFmtId="15" fontId="2" fillId="0" borderId="1" xfId="0" applyNumberFormat="1" applyFont="1" applyBorder="1" applyAlignment="1">
      <alignment horizontal="center"/>
    </xf>
    <xf numFmtId="0" fontId="5" fillId="3" borderId="6" xfId="0" applyFont="1" applyFill="1" applyBorder="1" applyAlignment="1">
      <alignment horizontal="center"/>
    </xf>
    <xf numFmtId="0" fontId="5" fillId="3" borderId="13" xfId="0" applyFont="1" applyFill="1" applyBorder="1" applyAlignment="1">
      <alignment horizontal="center"/>
    </xf>
    <xf numFmtId="0" fontId="5" fillId="3" borderId="10" xfId="0" applyFont="1" applyFill="1" applyBorder="1" applyAlignment="1">
      <alignment horizontal="center"/>
    </xf>
    <xf numFmtId="0" fontId="5" fillId="3" borderId="0" xfId="0" applyFont="1" applyFill="1" applyBorder="1" applyAlignment="1">
      <alignment horizontal="center"/>
    </xf>
    <xf numFmtId="0" fontId="1" fillId="3" borderId="10" xfId="0" applyFont="1" applyFill="1" applyBorder="1" applyAlignment="1">
      <alignment horizontal="center"/>
    </xf>
    <xf numFmtId="0" fontId="1" fillId="3" borderId="0" xfId="0" applyFont="1" applyFill="1" applyBorder="1" applyAlignment="1">
      <alignment horizontal="center"/>
    </xf>
    <xf numFmtId="0" fontId="1" fillId="3" borderId="8" xfId="0" applyFont="1" applyFill="1" applyBorder="1" applyAlignment="1">
      <alignment horizontal="center"/>
    </xf>
    <xf numFmtId="0" fontId="1" fillId="3" borderId="1" xfId="0" applyFont="1" applyFill="1" applyBorder="1" applyAlignment="1">
      <alignment horizontal="center"/>
    </xf>
  </cellXfs>
  <cellStyles count="3">
    <cellStyle name="Comma" xfId="1" builtinId="3"/>
    <cellStyle name="Normal" xfId="0" builtinId="0"/>
    <cellStyle name="Percent" xfId="2" builtinId="5"/>
  </cellStyles>
  <dxfs count="11"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66FF99"/>
        </patternFill>
      </fill>
    </dxf>
  </dxfs>
  <tableStyles count="0" defaultTableStyle="TableStyleMedium2" defaultPivotStyle="PivotStyleLight16"/>
  <colors>
    <mruColors>
      <color rgb="FFFF9900"/>
      <color rgb="FF66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volatileDependencies.xml><?xml version="1.0" encoding="utf-8"?>
<volTypes xmlns="http://schemas.openxmlformats.org/spreadsheetml/2006/main">
  <volType type="realTimeData">
    <main first="pldatasource.rdatartdserver">
      <tp t="s">
        <v>Updated at 14:13:18</v>
        <stp/>
        <stp>{0DA87E6E-7E1D-43D6-8B7F-151C643DDBAE}</stp>
        <tr r="L16" s="2"/>
      </tp>
    </main>
    <main first="pldatasource.rsearchrtdserver">
      <tp t="s">
        <v>Updated at 14:13:02</v>
        <stp/>
        <stp>{48F73025-731A-4169-8C72-CD50F4A07C07}_x0000_</stp>
        <tr r="C16" s="2"/>
      </tp>
    </main>
    <main first="pldatasource.rdatartdserver">
      <tp t="s">
        <v>Updated at 14:13:06</v>
        <stp/>
        <stp>{57A30BED-B665-4908-AC3C-8861DD5BD0CE}</stp>
        <tr r="D16" s="2"/>
      </tp>
      <tp t="s">
        <v>Updated at 14:13:14</v>
        <stp/>
        <stp>{45406097-7F6C-4796-8860-E3780CEA8686}</stp>
        <tr r="AD16" s="2"/>
      </tp>
    </main>
    <main first="pldatasource.rdatartdserver">
      <tp t="s">
        <v>Updated at 14:13:07</v>
        <stp/>
        <stp>{97AC3F0D-F670-4823-993E-AF97D7584408}</stp>
        <tr r="V16" s="2"/>
      </tp>
    </main>
    <main first="pldatasource.rsearchrtdserver">
      <tp t="s">
        <v>Updated at 14:13:02</v>
        <stp/>
        <stp>{AAC4491B-E6C1-4374-ADBA-861102CAB2B4}_x0000_</stp>
        <tr r="AC16" s="2"/>
      </tp>
    </main>
    <main first="pldatasource.rtgetrtdserver">
      <tp>
        <v>9.98</v>
        <stp/>
        <stp>_x0004_.VIX_x0007_CF_LASTÿ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7" s="2"/>
      </tp>
      <tp>
        <v>2551.9500000000003</v>
        <stp/>
        <stp>_x0004_.SPX_x0007_CF_LASTÿ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J5" s="2"/>
        <tr r="B7" s="3"/>
      </tp>
    </main>
    <main first="pldatasource.rsearchrtdserver">
      <tp t="s">
        <v>Updated at 14:13:01</v>
        <stp/>
        <stp>{FA904783-FE90-4457-9103-AF115F1E2F1F}_x0000_</stp>
        <tr r="B2" s="3"/>
      </tp>
      <tp t="s">
        <v>Updated at 14:13:02</v>
        <stp/>
        <stp>{B6E5FFE6-695B-41CD-BBC7-32EB090D1BAF}_x0000_</stp>
        <tr r="U16" s="2"/>
      </tp>
    </main>
    <main first="pldatasource.trrtdserver">
      <tp t="s">
        <v>Updated at 14:11:15</v>
        <stp/>
        <stp>{64D6329B-463A-4C6A-9964-6B240C18CDE6}_x0000_</stp>
        <tr r="S3" s="3"/>
      </tp>
    </main>
    <main first="pldatasource.rsearchrtdserver">
      <tp t="s">
        <v>Updated at 14:13:03</v>
        <stp/>
        <stp>{AC541596-3824-442A-90B8-B5016AA2825B}_x0000_</stp>
        <tr r="K16" s="2"/>
      </tp>
    </main>
    <main first="pldatasource.rsearchrtdserver">
      <tp t="s">
        <v>Updated at 14:11:11</v>
        <stp/>
        <stp>{E8A5366A-8C99-4AB1-A998-4C13C98859D6}_x0000_</stp>
        <tr r="P5" s="3"/>
      </tp>
    </main>
    <main first="pldatasource.rdatartdserver">
      <tp t="s">
        <v>Updated at 14:11:17</v>
        <stp/>
        <stp>{3391E3D1-D2CA-496F-A90A-9BCD4B56C217}</stp>
        <tr r="C2" s="3"/>
      </tp>
    </main>
  </volType>
</volType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volatileDependencies" Target="volatileDependencies.xml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200025</xdr:colOff>
          <xdr:row>8</xdr:row>
          <xdr:rowOff>133350</xdr:rowOff>
        </xdr:from>
        <xdr:to>
          <xdr:col>10</xdr:col>
          <xdr:colOff>342900</xdr:colOff>
          <xdr:row>10</xdr:row>
          <xdr:rowOff>104775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Refresh Functions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AP562"/>
  <sheetViews>
    <sheetView showGridLines="0" tabSelected="1" zoomScale="70" zoomScaleNormal="70" workbookViewId="0">
      <selection activeCell="E12" sqref="E12"/>
    </sheetView>
  </sheetViews>
  <sheetFormatPr defaultRowHeight="12.75" x14ac:dyDescent="0.2"/>
  <cols>
    <col min="1" max="2" width="2" customWidth="1"/>
    <col min="3" max="3" width="18.5703125" style="5" bestFit="1" customWidth="1"/>
    <col min="4" max="4" width="20.28515625" style="5" customWidth="1"/>
    <col min="5" max="5" width="10" style="5" customWidth="1"/>
    <col min="6" max="6" width="9.5703125" style="5" customWidth="1"/>
    <col min="7" max="7" width="12" style="4" bestFit="1" customWidth="1"/>
    <col min="8" max="8" width="7.7109375" style="4" customWidth="1"/>
    <col min="9" max="9" width="10.85546875" style="4" customWidth="1"/>
    <col min="10" max="10" width="11.42578125" style="4" customWidth="1"/>
    <col min="11" max="11" width="18.5703125" style="4" customWidth="1"/>
    <col min="12" max="12" width="18.5703125" style="4" bestFit="1" customWidth="1"/>
    <col min="13" max="13" width="8.28515625" style="4" customWidth="1"/>
    <col min="14" max="14" width="9.140625" style="4" customWidth="1"/>
    <col min="15" max="15" width="12" style="4" bestFit="1" customWidth="1"/>
    <col min="16" max="16" width="4.7109375" style="4" customWidth="1"/>
    <col min="17" max="19" width="2.140625" style="4" customWidth="1"/>
    <col min="20" max="20" width="4" customWidth="1"/>
    <col min="21" max="21" width="18.5703125" style="5" bestFit="1" customWidth="1"/>
    <col min="22" max="22" width="18.42578125" style="5" customWidth="1"/>
    <col min="23" max="23" width="10.140625" style="5" customWidth="1"/>
    <col min="24" max="24" width="9.140625" style="5" customWidth="1"/>
    <col min="25" max="25" width="11.28515625" style="4" customWidth="1"/>
    <col min="26" max="26" width="7.28515625" style="4" customWidth="1"/>
    <col min="27" max="27" width="14.140625" style="4" customWidth="1"/>
    <col min="28" max="28" width="10.140625" style="4" bestFit="1" customWidth="1"/>
    <col min="29" max="29" width="18.5703125" style="4" customWidth="1"/>
    <col min="30" max="30" width="17.5703125" style="4" customWidth="1"/>
    <col min="31" max="31" width="7.5703125" style="4" customWidth="1"/>
    <col min="32" max="32" width="7.28515625" style="4" customWidth="1"/>
    <col min="33" max="33" width="12" style="4" bestFit="1" customWidth="1"/>
    <col min="35" max="37" width="2.140625" style="4" customWidth="1"/>
  </cols>
  <sheetData>
    <row r="1" spans="2:37" x14ac:dyDescent="0.2">
      <c r="G1" s="5"/>
      <c r="H1" s="5"/>
      <c r="I1" s="5"/>
      <c r="J1" s="5"/>
      <c r="K1" s="5"/>
      <c r="L1" s="5"/>
      <c r="M1" s="5"/>
      <c r="N1" s="5"/>
      <c r="O1" s="5"/>
      <c r="P1" s="5"/>
      <c r="Q1" s="13"/>
      <c r="R1" s="13"/>
      <c r="S1" s="13"/>
      <c r="Y1" s="5"/>
      <c r="Z1" s="5"/>
      <c r="AA1" s="5"/>
      <c r="AB1" s="5"/>
      <c r="AC1" s="5"/>
      <c r="AD1" s="5"/>
      <c r="AE1" s="5"/>
      <c r="AF1" s="5"/>
      <c r="AG1" s="5"/>
      <c r="AI1" s="13"/>
      <c r="AJ1" s="13"/>
      <c r="AK1" s="13"/>
    </row>
    <row r="2" spans="2:37" x14ac:dyDescent="0.2">
      <c r="C2" s="7"/>
      <c r="G2" s="5"/>
      <c r="H2" s="5"/>
      <c r="I2" s="5"/>
      <c r="J2" s="5"/>
      <c r="K2" s="5"/>
      <c r="L2" s="5"/>
      <c r="M2" s="5"/>
      <c r="N2" s="5"/>
      <c r="O2" s="5"/>
      <c r="P2" s="5"/>
      <c r="Q2" s="13"/>
      <c r="R2" s="13"/>
      <c r="S2" s="13"/>
      <c r="U2" s="7"/>
      <c r="Y2" s="5"/>
      <c r="Z2" s="5"/>
      <c r="AA2" s="5"/>
      <c r="AB2" s="5"/>
      <c r="AC2" s="5"/>
      <c r="AD2" s="5"/>
      <c r="AE2" s="5"/>
      <c r="AF2" s="5"/>
      <c r="AG2" s="5"/>
      <c r="AI2" s="13"/>
      <c r="AJ2" s="13"/>
      <c r="AK2" s="13"/>
    </row>
    <row r="3" spans="2:37" x14ac:dyDescent="0.2">
      <c r="G3" s="5"/>
      <c r="H3" s="5"/>
      <c r="I3" s="5"/>
      <c r="J3" s="5"/>
      <c r="K3" s="5"/>
      <c r="L3" s="5"/>
      <c r="M3" s="5"/>
      <c r="N3" s="5"/>
      <c r="O3" s="5"/>
      <c r="P3" s="5"/>
      <c r="Q3" s="13"/>
      <c r="R3" s="13"/>
      <c r="S3" s="13"/>
      <c r="Y3" s="5"/>
      <c r="Z3" s="5"/>
      <c r="AA3" s="5"/>
      <c r="AB3" s="5"/>
      <c r="AC3" s="5"/>
      <c r="AD3" s="5"/>
      <c r="AE3" s="5"/>
      <c r="AF3" s="5"/>
      <c r="AG3" s="5"/>
      <c r="AI3" s="13"/>
      <c r="AJ3" s="13"/>
      <c r="AK3" s="13"/>
    </row>
    <row r="4" spans="2:37" ht="19.5" thickBot="1" x14ac:dyDescent="0.4">
      <c r="C4" s="43" t="s">
        <v>0</v>
      </c>
      <c r="D4" s="44">
        <f ca="1">TODAY()</f>
        <v>43019</v>
      </c>
      <c r="F4" s="61" t="s">
        <v>49</v>
      </c>
      <c r="G4" s="5"/>
      <c r="H4" s="91" t="s">
        <v>21</v>
      </c>
      <c r="I4" s="92"/>
      <c r="J4" s="24">
        <v>0.5</v>
      </c>
      <c r="K4" s="5"/>
      <c r="L4" s="62" t="s">
        <v>39</v>
      </c>
      <c r="M4" s="6">
        <f ca="1">D10*525600</f>
        <v>37487</v>
      </c>
      <c r="N4" s="5"/>
      <c r="O4" s="5"/>
      <c r="P4" s="5"/>
      <c r="Q4" s="13"/>
      <c r="R4" s="13"/>
      <c r="S4" s="13"/>
      <c r="U4" s="43" t="s">
        <v>0</v>
      </c>
      <c r="V4" s="54">
        <f ca="1">TODAY()</f>
        <v>43019</v>
      </c>
      <c r="Y4" s="5"/>
      <c r="Z4" s="5"/>
      <c r="AA4" s="36"/>
      <c r="AB4" s="37"/>
      <c r="AC4" s="5"/>
      <c r="AD4" s="5"/>
      <c r="AE4" s="5"/>
      <c r="AF4" s="5"/>
      <c r="AG4" s="5"/>
      <c r="AI4" s="13"/>
      <c r="AJ4" s="13"/>
      <c r="AK4" s="13"/>
    </row>
    <row r="5" spans="2:37" ht="19.5" thickBot="1" x14ac:dyDescent="0.4">
      <c r="C5" s="45" t="s">
        <v>36</v>
      </c>
      <c r="D5" s="46">
        <f ca="1">C13</f>
        <v>43045</v>
      </c>
      <c r="F5" s="75">
        <f ca="1">100*SQRT((D10*D7*((M5-M6)/(M5-M4))+V10*V7*((M6-M4)/(M5-M4)))*(M7/M6))</f>
        <v>10.035885745138911</v>
      </c>
      <c r="G5" s="5"/>
      <c r="H5" s="93" t="s">
        <v>28</v>
      </c>
      <c r="I5" s="94"/>
      <c r="J5" s="33">
        <f>_xll.RtGet(,".SPX","CF_LAST")</f>
        <v>2551.9500000000003</v>
      </c>
      <c r="K5" s="5"/>
      <c r="L5" s="62" t="s">
        <v>40</v>
      </c>
      <c r="M5" s="6">
        <f ca="1">V10*525600</f>
        <v>47567</v>
      </c>
      <c r="N5" s="5"/>
      <c r="O5" s="5"/>
      <c r="P5" s="5"/>
      <c r="Q5" s="13"/>
      <c r="R5" s="13"/>
      <c r="S5" s="13"/>
      <c r="U5" s="45" t="s">
        <v>35</v>
      </c>
      <c r="V5" s="55">
        <f ca="1">U13</f>
        <v>43052</v>
      </c>
      <c r="Y5" s="5"/>
      <c r="Z5" s="5"/>
      <c r="AA5" s="36"/>
      <c r="AB5" s="38"/>
      <c r="AC5" s="5"/>
      <c r="AD5" s="5"/>
      <c r="AE5" s="5"/>
      <c r="AF5" s="5"/>
      <c r="AG5" s="5"/>
      <c r="AI5" s="13"/>
      <c r="AJ5" s="13"/>
      <c r="AK5" s="13"/>
    </row>
    <row r="6" spans="2:37" ht="19.5" thickBot="1" x14ac:dyDescent="0.4">
      <c r="C6" s="47" t="s">
        <v>43</v>
      </c>
      <c r="D6" s="48">
        <f ca="1">(D5-D4)-1</f>
        <v>25</v>
      </c>
      <c r="F6" s="61" t="s">
        <v>57</v>
      </c>
      <c r="G6" s="5"/>
      <c r="H6" s="95" t="s">
        <v>30</v>
      </c>
      <c r="I6" s="96"/>
      <c r="J6" s="35">
        <f ca="1">VLOOKUP(Sheet2!N7,Sheet2!S:T,2,FALSE)</f>
        <v>1.0350969999999999</v>
      </c>
      <c r="K6" s="5"/>
      <c r="L6" s="62" t="s">
        <v>41</v>
      </c>
      <c r="M6" s="5">
        <v>43200</v>
      </c>
      <c r="N6" s="5"/>
      <c r="O6" s="5"/>
      <c r="P6" s="5"/>
      <c r="Q6" s="13"/>
      <c r="R6" s="13"/>
      <c r="S6" s="13"/>
      <c r="U6" s="47" t="s">
        <v>34</v>
      </c>
      <c r="V6" s="56">
        <f ca="1">(V5-V4)-1</f>
        <v>32</v>
      </c>
      <c r="Y6" s="5"/>
      <c r="Z6" s="5"/>
      <c r="AA6" s="41" t="s">
        <v>30</v>
      </c>
      <c r="AB6" s="42">
        <f ca="1">VLOOKUP(Sheet2!N8,Sheet2!S:T,2,FALSE)</f>
        <v>1.004826</v>
      </c>
      <c r="AC6" s="5"/>
      <c r="AD6" s="5"/>
      <c r="AE6" s="5"/>
      <c r="AF6" s="5"/>
      <c r="AG6" s="5"/>
      <c r="AI6" s="13"/>
      <c r="AJ6" s="13"/>
      <c r="AK6" s="13"/>
    </row>
    <row r="7" spans="2:37" ht="19.5" thickBot="1" x14ac:dyDescent="0.4">
      <c r="B7" s="34"/>
      <c r="C7" s="49" t="s">
        <v>44</v>
      </c>
      <c r="D7" s="60">
        <f ca="1">NearTermVar(Calc_Time)</f>
        <v>9.5033130648170348E-3</v>
      </c>
      <c r="F7" s="74">
        <f>_xll.RtGet(,".VIX","CF_LAST")</f>
        <v>9.98</v>
      </c>
      <c r="G7" s="5"/>
      <c r="H7" s="95" t="s">
        <v>29</v>
      </c>
      <c r="I7" s="96"/>
      <c r="J7" s="63">
        <f ca="1">NOW()</f>
        <v>43019.592578240743</v>
      </c>
      <c r="K7" s="5"/>
      <c r="L7" s="62" t="s">
        <v>42</v>
      </c>
      <c r="M7" s="5">
        <v>525600</v>
      </c>
      <c r="N7" s="5"/>
      <c r="O7" s="5"/>
      <c r="P7" s="5"/>
      <c r="Q7" s="13"/>
      <c r="R7" s="13"/>
      <c r="S7" s="13"/>
      <c r="U7" s="49" t="s">
        <v>45</v>
      </c>
      <c r="V7" s="60">
        <f ca="1">NearTermVar1(Time)</f>
        <v>1.0414424242925702E-2</v>
      </c>
      <c r="Y7" s="5"/>
      <c r="Z7" s="5"/>
      <c r="AA7" s="39"/>
      <c r="AB7" s="40"/>
      <c r="AC7" s="5"/>
      <c r="AD7" s="5"/>
      <c r="AE7" s="5"/>
      <c r="AF7" s="5"/>
      <c r="AG7" s="5"/>
      <c r="AI7" s="13"/>
      <c r="AJ7" s="13"/>
      <c r="AK7" s="13"/>
    </row>
    <row r="8" spans="2:37" ht="18.75" x14ac:dyDescent="0.35">
      <c r="C8" s="47" t="s">
        <v>37</v>
      </c>
      <c r="D8" s="50">
        <f ca="1">F(RiskFree, Time)</f>
        <v>2557.5300544523761</v>
      </c>
      <c r="F8" s="67"/>
      <c r="G8" s="5"/>
      <c r="H8" s="97" t="s">
        <v>46</v>
      </c>
      <c r="I8" s="98"/>
      <c r="J8" s="64" t="str">
        <f>IF(MID(C17,4,1)="W","Weekly","Monthly")</f>
        <v>Weekly</v>
      </c>
      <c r="K8" s="5"/>
      <c r="L8" s="5"/>
      <c r="M8" s="5"/>
      <c r="N8" s="5"/>
      <c r="O8" s="5"/>
      <c r="P8" s="5"/>
      <c r="Q8" s="13"/>
      <c r="R8" s="13"/>
      <c r="S8" s="13"/>
      <c r="U8" s="47" t="s">
        <v>33</v>
      </c>
      <c r="V8" s="57">
        <f ca="1">Fnext1(RiskFree1, Time)</f>
        <v>2558.15</v>
      </c>
      <c r="Y8" s="5"/>
      <c r="Z8" s="5"/>
      <c r="AA8" s="65" t="s">
        <v>46</v>
      </c>
      <c r="AB8" s="66" t="str">
        <f>IF(MID(U17,4,1)="W","Weekly","Monthly")</f>
        <v>Weekly</v>
      </c>
      <c r="AC8" s="5"/>
      <c r="AD8" s="5"/>
      <c r="AE8" s="5"/>
      <c r="AF8" s="5"/>
      <c r="AG8" s="5"/>
      <c r="AI8" s="13"/>
      <c r="AJ8" s="13"/>
      <c r="AK8" s="13"/>
    </row>
    <row r="9" spans="2:37" ht="18.75" x14ac:dyDescent="0.35">
      <c r="C9" s="47" t="s">
        <v>32</v>
      </c>
      <c r="D9" s="51">
        <f ca="1">K0(RiskFree, Time)</f>
        <v>2555</v>
      </c>
      <c r="F9" s="67"/>
      <c r="G9" s="5"/>
      <c r="H9" s="5"/>
      <c r="I9" s="5"/>
      <c r="J9" s="5"/>
      <c r="K9" s="18"/>
      <c r="L9" s="5"/>
      <c r="M9" s="5"/>
      <c r="N9" s="5"/>
      <c r="O9" s="5"/>
      <c r="P9" s="5"/>
      <c r="Q9" s="13"/>
      <c r="R9" s="13"/>
      <c r="S9" s="13"/>
      <c r="U9" s="47" t="s">
        <v>32</v>
      </c>
      <c r="V9" s="58">
        <f ca="1">K0_1(RiskFree1, Time)</f>
        <v>2555</v>
      </c>
      <c r="Y9" s="5"/>
      <c r="Z9" s="5"/>
      <c r="AA9" s="5"/>
      <c r="AB9" s="5"/>
      <c r="AC9" s="18"/>
      <c r="AD9" s="5"/>
      <c r="AE9" s="5"/>
      <c r="AF9" s="5"/>
      <c r="AG9" s="5"/>
      <c r="AI9" s="13"/>
      <c r="AJ9" s="13"/>
      <c r="AK9" s="13"/>
    </row>
    <row r="10" spans="2:37" ht="18.75" x14ac:dyDescent="0.35">
      <c r="C10" s="52" t="s">
        <v>38</v>
      </c>
      <c r="D10" s="53">
        <f ca="1">mat(D6, Time, Contract)</f>
        <v>7.1322298325722983E-2</v>
      </c>
      <c r="G10" s="5"/>
      <c r="H10" s="5"/>
      <c r="I10" s="5"/>
      <c r="J10" s="5"/>
      <c r="K10" s="5"/>
      <c r="L10" s="5"/>
      <c r="M10" s="5"/>
      <c r="N10" s="5"/>
      <c r="O10" s="5"/>
      <c r="P10" s="5"/>
      <c r="Q10" s="13"/>
      <c r="R10" s="13"/>
      <c r="S10" s="13"/>
      <c r="U10" s="52" t="s">
        <v>31</v>
      </c>
      <c r="V10" s="59">
        <f ca="1">mat(V6, Time, Contract2)</f>
        <v>9.0500380517503809E-2</v>
      </c>
      <c r="Y10" s="5"/>
      <c r="Z10" s="5"/>
      <c r="AA10" s="5"/>
      <c r="AB10" s="5"/>
      <c r="AC10" s="5"/>
      <c r="AD10" s="5"/>
      <c r="AE10" s="5"/>
      <c r="AF10" s="5"/>
      <c r="AG10" s="5"/>
      <c r="AI10" s="13"/>
      <c r="AJ10" s="13"/>
      <c r="AK10" s="13"/>
    </row>
    <row r="11" spans="2:37" x14ac:dyDescent="0.2">
      <c r="C11" s="1"/>
      <c r="D11" s="8"/>
      <c r="G11" s="5"/>
      <c r="H11" s="5"/>
      <c r="I11" s="5"/>
      <c r="J11" s="5"/>
      <c r="K11" s="5"/>
      <c r="L11" s="5"/>
      <c r="M11" s="5"/>
      <c r="N11" s="5"/>
      <c r="O11" s="5"/>
      <c r="P11" s="5"/>
      <c r="Q11" s="13"/>
      <c r="R11" s="13"/>
      <c r="S11" s="13"/>
      <c r="U11" s="1"/>
      <c r="V11" s="8"/>
      <c r="Y11" s="5"/>
      <c r="Z11" s="5"/>
      <c r="AA11" s="5"/>
      <c r="AB11" s="5"/>
      <c r="AC11" s="5"/>
      <c r="AD11" s="5"/>
      <c r="AE11" s="5"/>
      <c r="AF11" s="5"/>
      <c r="AG11" s="5"/>
      <c r="AI11" s="13"/>
      <c r="AJ11" s="13"/>
      <c r="AK11" s="13"/>
    </row>
    <row r="12" spans="2:37" ht="15.75" x14ac:dyDescent="0.3">
      <c r="C12" s="25" t="s">
        <v>12</v>
      </c>
      <c r="D12" s="8"/>
      <c r="G12" s="5"/>
      <c r="H12" s="32" t="s">
        <v>1</v>
      </c>
      <c r="I12" s="31">
        <f>VLOOKUP(MIN(I17:I271),I17:L271,4,FALSE)</f>
        <v>2555</v>
      </c>
      <c r="J12" s="5"/>
      <c r="K12" s="25" t="s">
        <v>13</v>
      </c>
      <c r="L12" s="5"/>
      <c r="M12" s="5"/>
      <c r="N12" s="5"/>
      <c r="O12" s="5"/>
      <c r="P12" s="5"/>
      <c r="Q12" s="13"/>
      <c r="R12" s="13"/>
      <c r="S12" s="13"/>
      <c r="U12" s="25" t="s">
        <v>12</v>
      </c>
      <c r="V12" s="8"/>
      <c r="Y12" s="5"/>
      <c r="Z12" s="32" t="s">
        <v>1</v>
      </c>
      <c r="AA12" s="31">
        <f>VLOOKUP(MIN(AA17:AA271),AA17:AD271,4,FALSE)</f>
        <v>2555</v>
      </c>
      <c r="AB12" s="5"/>
      <c r="AC12" s="25" t="s">
        <v>13</v>
      </c>
      <c r="AD12" s="5"/>
      <c r="AE12" s="5"/>
      <c r="AF12" s="5"/>
      <c r="AG12" s="5"/>
      <c r="AI12" s="13"/>
      <c r="AJ12" s="13"/>
      <c r="AK12" s="13"/>
    </row>
    <row r="13" spans="2:37" x14ac:dyDescent="0.2">
      <c r="C13" s="26">
        <f ca="1">Sheet2!C12</f>
        <v>43045</v>
      </c>
      <c r="D13" s="6">
        <f ca="1">COUNTIFS(D17:D271,"&gt;"&amp;$D$9,G17:G271,"&lt;&gt;""Omit",G17:G271,"&lt;&gt;""Kill",G17:G271,"&gt;.00001")</f>
        <v>22</v>
      </c>
      <c r="G13" s="5"/>
      <c r="H13" s="5"/>
      <c r="I13" s="5"/>
      <c r="J13" s="5"/>
      <c r="K13" s="26">
        <f ca="1">C13</f>
        <v>43045</v>
      </c>
      <c r="L13" s="6">
        <f ca="1">COUNTIFS(L17:L271,"&lt;"&amp;D9,O17:O271,"&lt;&gt;""Omit",O17:O271,"&lt;&gt;""Kill",O17:O271,"&gt;.00001")</f>
        <v>72</v>
      </c>
      <c r="M13" s="5"/>
      <c r="N13" s="5"/>
      <c r="O13" s="5"/>
      <c r="P13" s="5"/>
      <c r="Q13" s="13"/>
      <c r="R13" s="13"/>
      <c r="S13" s="13"/>
      <c r="U13" s="26">
        <f ca="1">Sheet2!C13</f>
        <v>43052</v>
      </c>
      <c r="V13" s="6">
        <f ca="1">COUNTIFS(V17:V271,"&gt;"&amp;$D$9,Y17:Y271,"&lt;&gt;""Omit",Y17:Y271,"&lt;&gt;""Kill",Y17:Y271,"&gt;.00001")</f>
        <v>23</v>
      </c>
      <c r="Y13" s="5"/>
      <c r="Z13" s="5"/>
      <c r="AA13" s="5"/>
      <c r="AB13" s="5"/>
      <c r="AC13" s="26">
        <f ca="1">U13</f>
        <v>43052</v>
      </c>
      <c r="AD13" s="6">
        <f ca="1">COUNTIFS(AD17:AD271,"&lt;"&amp;V9,AG17:AG271,"&lt;&gt;""Omit",AG17:AG271,"&lt;&gt;""Kill",AG17:AG271,"&gt;.00001")</f>
        <v>64</v>
      </c>
      <c r="AE13" s="5"/>
      <c r="AF13" s="5"/>
      <c r="AG13" s="5"/>
      <c r="AI13" s="13"/>
      <c r="AJ13" s="13"/>
      <c r="AK13" s="13"/>
    </row>
    <row r="14" spans="2:37" x14ac:dyDescent="0.2">
      <c r="C14" s="90" t="s">
        <v>6</v>
      </c>
      <c r="D14" s="90"/>
      <c r="E14" s="90"/>
      <c r="F14" s="90"/>
      <c r="G14" s="90"/>
      <c r="H14" s="9"/>
      <c r="I14" s="9"/>
      <c r="J14" s="9"/>
      <c r="K14" s="90" t="s">
        <v>7</v>
      </c>
      <c r="L14" s="90"/>
      <c r="M14" s="90"/>
      <c r="N14" s="90"/>
      <c r="O14" s="90"/>
      <c r="P14" s="9"/>
      <c r="Q14" s="14"/>
      <c r="R14" s="14"/>
      <c r="S14" s="14"/>
      <c r="U14" s="90" t="s">
        <v>47</v>
      </c>
      <c r="V14" s="90"/>
      <c r="W14" s="90"/>
      <c r="X14" s="90"/>
      <c r="Y14" s="90"/>
      <c r="Z14" s="9"/>
      <c r="AA14" s="9"/>
      <c r="AB14" s="9"/>
      <c r="AC14" s="90" t="s">
        <v>48</v>
      </c>
      <c r="AD14" s="90"/>
      <c r="AE14" s="90"/>
      <c r="AF14" s="90"/>
      <c r="AG14" s="90"/>
      <c r="AI14" s="14"/>
      <c r="AJ14" s="14"/>
      <c r="AK14" s="14"/>
    </row>
    <row r="15" spans="2:37" x14ac:dyDescent="0.2">
      <c r="C15" s="10" t="s">
        <v>8</v>
      </c>
      <c r="D15" s="11" t="s">
        <v>2</v>
      </c>
      <c r="E15" s="11" t="s">
        <v>3</v>
      </c>
      <c r="F15" s="11" t="s">
        <v>4</v>
      </c>
      <c r="G15" s="12" t="s">
        <v>5</v>
      </c>
      <c r="H15" s="12"/>
      <c r="I15" s="12"/>
      <c r="J15" s="5"/>
      <c r="K15" s="10" t="s">
        <v>8</v>
      </c>
      <c r="L15" s="11" t="s">
        <v>2</v>
      </c>
      <c r="M15" s="11" t="s">
        <v>3</v>
      </c>
      <c r="N15" s="11" t="s">
        <v>4</v>
      </c>
      <c r="O15" s="12" t="s">
        <v>5</v>
      </c>
      <c r="P15" s="12"/>
      <c r="Q15" s="13"/>
      <c r="R15" s="13"/>
      <c r="S15" s="13"/>
      <c r="U15" s="10" t="s">
        <v>8</v>
      </c>
      <c r="V15" s="11" t="s">
        <v>2</v>
      </c>
      <c r="W15" s="11" t="s">
        <v>3</v>
      </c>
      <c r="X15" s="11" t="s">
        <v>4</v>
      </c>
      <c r="Y15" s="12" t="s">
        <v>5</v>
      </c>
      <c r="Z15" s="12"/>
      <c r="AA15" s="12"/>
      <c r="AB15" s="5"/>
      <c r="AC15" s="10" t="s">
        <v>8</v>
      </c>
      <c r="AD15" s="11" t="s">
        <v>2</v>
      </c>
      <c r="AE15" s="11" t="s">
        <v>3</v>
      </c>
      <c r="AF15" s="11" t="s">
        <v>4</v>
      </c>
      <c r="AG15" s="12" t="s">
        <v>5</v>
      </c>
      <c r="AI15" s="13"/>
      <c r="AJ15" s="13"/>
      <c r="AK15" s="13"/>
    </row>
    <row r="16" spans="2:37" x14ac:dyDescent="0.2">
      <c r="C16" s="10" t="str">
        <f ca="1">_xll.RSearch("OPTION","Search:.SPX CallPutOption:"&amp;C12&amp;" StrikePrice:"&amp;SpotSPX*(0.7)&amp;"=&lt;"&amp;SpotSPX*(1+Threshold)&amp;" ExpiryDate:"&amp;C13,"NBROWS:2000 SORT:ExpiryDate:A SORT:StrikePrice:A",,C17)</f>
        <v>Updated at 14:13:02</v>
      </c>
      <c r="D16" s="11" t="str">
        <f>_xll.RData(C17:C1694,"Strike_PRC;BID;ASK",,,,D17)</f>
        <v>Updated at 14:13:06</v>
      </c>
      <c r="E16" s="11"/>
      <c r="F16" s="11"/>
      <c r="G16" s="12"/>
      <c r="H16" s="12"/>
      <c r="I16" s="12"/>
      <c r="J16" s="5"/>
      <c r="K16" s="10" t="str">
        <f ca="1">_xll.RSearch("OPTION","Search:.SPX CallPutOption:"&amp;K12&amp;" StrikePrice:"&amp;SpotSPX*(1-Threshold)&amp;"=&lt;"&amp;SpotSPX*(1.3)&amp;" ExpiryDate:"&amp;K13,"NBROWS:2000 SORT:ExpiryDate:A SORT:StrikePrice:D",,K17)</f>
        <v>Updated at 14:13:03</v>
      </c>
      <c r="L16" s="11" t="str">
        <f>_xll.RData(K17:K1694,"Strike_PRC;BID;ASK",,,,L17)</f>
        <v>Updated at 14:13:18</v>
      </c>
      <c r="M16" s="11"/>
      <c r="N16" s="11"/>
      <c r="O16" s="12"/>
      <c r="P16" s="12"/>
      <c r="Q16" s="13"/>
      <c r="R16" s="13"/>
      <c r="S16" s="13"/>
      <c r="U16" s="10" t="str">
        <f ca="1">_xll.RSearch("OPTION","Search:.SPX CallPutOption:"&amp;U12&amp;" StrikePrice:"&amp;SpotSPX*(0.7)&amp;"=&lt;"&amp;SpotSPX*(1+Threshold)&amp;" ExpiryDate:"&amp;U13,"NBROWS:2000 SORT:ExpiryDate:A SORT:StrikePrice:A",,U17)</f>
        <v>Updated at 14:13:02</v>
      </c>
      <c r="V16" s="11" t="str">
        <f>_xll.RData(U17:U1694,"Strike_PRC;BID;ASK",,,,V17)</f>
        <v>Updated at 14:13:07</v>
      </c>
      <c r="W16" s="11"/>
      <c r="X16" s="11"/>
      <c r="Y16" s="12"/>
      <c r="Z16" s="12"/>
      <c r="AA16" s="12"/>
      <c r="AB16" s="5"/>
      <c r="AC16" s="10" t="str">
        <f ca="1">_xll.RSearch("OPTION","Search:.SPX CallPutOption:"&amp;AC12&amp;" StrikePrice:"&amp;SpotSPX*(1-Threshold)&amp;"=&lt;"&amp;SpotSPX*(1.3)&amp;" ExpiryDate:"&amp;AC13,"NBROWS:2000 SORT:ExpiryDate:A SORT:StrikePrice:D",,AC17)</f>
        <v>Updated at 14:13:02</v>
      </c>
      <c r="AD16" s="11" t="str">
        <f>_xll.RData(AC17:AC1694,"Strike_PRC;BID;ASK",,,,AD17)</f>
        <v>Updated at 14:13:14</v>
      </c>
      <c r="AE16" s="11"/>
      <c r="AF16" s="11"/>
      <c r="AG16" s="12"/>
      <c r="AI16" s="13"/>
      <c r="AJ16" s="13"/>
      <c r="AK16" s="13"/>
    </row>
    <row r="17" spans="3:37" x14ac:dyDescent="0.2">
      <c r="C17" s="77" t="s">
        <v>204</v>
      </c>
      <c r="D17" s="28">
        <v>1800</v>
      </c>
      <c r="E17" s="29">
        <v>747.5</v>
      </c>
      <c r="F17" s="29">
        <v>756.6</v>
      </c>
      <c r="G17" s="5">
        <f>IF(C17="","",IF(E17&gt;0,(E17+F17)/2,"Omit"))</f>
        <v>752.05</v>
      </c>
      <c r="H17" s="5"/>
      <c r="I17" s="5" t="str">
        <f>IF(L17="","",IFERROR(ABS(VLOOKUP(L17,$L$17:$O$271,4,FALSE)-VLOOKUP(L17,$D$17:$G$271,4,FALSE)),""))</f>
        <v/>
      </c>
      <c r="J17" s="5"/>
      <c r="K17" s="77" t="s">
        <v>473</v>
      </c>
      <c r="L17" s="28">
        <v>2900</v>
      </c>
      <c r="M17" s="30">
        <v>342.3</v>
      </c>
      <c r="N17" s="30">
        <v>351.40000000000003</v>
      </c>
      <c r="O17" s="5">
        <f>IF(K17="","",IF(M17&gt;0,(M17+N17)/2,"Omit"))</f>
        <v>346.85</v>
      </c>
      <c r="P17" s="5"/>
      <c r="Q17" s="13"/>
      <c r="R17" s="13"/>
      <c r="S17" s="13"/>
      <c r="U17" s="27" t="s">
        <v>295</v>
      </c>
      <c r="V17" s="28">
        <v>1800</v>
      </c>
      <c r="W17" s="29">
        <v>746.4</v>
      </c>
      <c r="X17" s="29">
        <v>755.5</v>
      </c>
      <c r="Y17" s="5">
        <f>IF(U17="","",IF(W17&gt;0,(W17+X17)/2,"Omit"))</f>
        <v>750.95</v>
      </c>
      <c r="Z17" s="5"/>
      <c r="AA17" s="5" t="str">
        <f>IF(AD17="","",IFERROR(ABS(VLOOKUP(AD17,$L$17:$O$271,4,FALSE)-VLOOKUP(AD17,$D$17:$G$271,4,FALSE)),""))</f>
        <v/>
      </c>
      <c r="AB17" s="5"/>
      <c r="AC17" s="77" t="s">
        <v>380</v>
      </c>
      <c r="AD17" s="28">
        <v>2900</v>
      </c>
      <c r="AE17" s="30">
        <v>343.2</v>
      </c>
      <c r="AF17" s="30">
        <v>352.3</v>
      </c>
      <c r="AG17" s="5">
        <f>IF(AC17="","",IF(AE17&gt;0,(AE17+AF17)/2,"Omit"))</f>
        <v>347.75</v>
      </c>
      <c r="AI17" s="13"/>
      <c r="AJ17" s="13"/>
      <c r="AK17" s="13"/>
    </row>
    <row r="18" spans="3:37" x14ac:dyDescent="0.2">
      <c r="C18" s="78" t="s">
        <v>205</v>
      </c>
      <c r="D18" s="5">
        <v>1850</v>
      </c>
      <c r="E18" s="29">
        <v>697.6</v>
      </c>
      <c r="F18" s="29">
        <v>706.7</v>
      </c>
      <c r="G18" s="5">
        <f t="shared" ref="G18" si="0">IF(C18="","",IF(E18&gt;0,(E18+F18)/2,"Omit"))</f>
        <v>702.15000000000009</v>
      </c>
      <c r="H18" s="5"/>
      <c r="I18" s="5" t="str">
        <f t="shared" ref="I18:I81" si="1">IF(L18="","",IFERROR(ABS(VLOOKUP(L18,$L$17:$O$271,4,FALSE)-VLOOKUP(L18,$D$17:$G$271,4,FALSE)),""))</f>
        <v/>
      </c>
      <c r="J18" s="3"/>
      <c r="K18" s="80" t="s">
        <v>474</v>
      </c>
      <c r="L18" s="6">
        <v>2850</v>
      </c>
      <c r="M18" s="30">
        <v>292.3</v>
      </c>
      <c r="N18" s="30">
        <v>301.40000000000003</v>
      </c>
      <c r="O18" s="5">
        <f t="shared" ref="O18" si="2">IF(K18="","",IF(M18&gt;0,(M18+N18)/2,"Omit"))</f>
        <v>296.85000000000002</v>
      </c>
      <c r="P18" s="3"/>
      <c r="Q18" s="15"/>
      <c r="R18" s="15"/>
      <c r="S18" s="15"/>
      <c r="U18" s="18" t="s">
        <v>296</v>
      </c>
      <c r="V18" s="5">
        <v>1850</v>
      </c>
      <c r="W18" s="29">
        <v>696.5</v>
      </c>
      <c r="X18" s="29">
        <v>705.6</v>
      </c>
      <c r="Y18" s="5">
        <f t="shared" ref="Y18" si="3">IF(U18="","",IF(W18&gt;0,(W18+X18)/2,"Omit"))</f>
        <v>701.05</v>
      </c>
      <c r="Z18" s="5"/>
      <c r="AA18" s="5" t="str">
        <f t="shared" ref="AA18:AA81" si="4">IF(AD18="","",IFERROR(ABS(VLOOKUP(AD18,$L$17:$O$271,4,FALSE)-VLOOKUP(AD18,$D$17:$G$271,4,FALSE)),""))</f>
        <v/>
      </c>
      <c r="AB18" s="3"/>
      <c r="AC18" s="80" t="s">
        <v>381</v>
      </c>
      <c r="AD18" s="6">
        <v>2850</v>
      </c>
      <c r="AE18" s="30">
        <v>293.10000000000002</v>
      </c>
      <c r="AF18" s="30">
        <v>302.2</v>
      </c>
      <c r="AG18" s="5">
        <f t="shared" ref="AG18" si="5">IF(AC18="","",IF(AE18&gt;0,(AE18+AF18)/2,"Omit"))</f>
        <v>297.64999999999998</v>
      </c>
      <c r="AI18" s="15"/>
      <c r="AJ18" s="15"/>
      <c r="AK18" s="15"/>
    </row>
    <row r="19" spans="3:37" x14ac:dyDescent="0.2">
      <c r="C19" s="78" t="s">
        <v>206</v>
      </c>
      <c r="D19" s="5">
        <v>1900</v>
      </c>
      <c r="E19" s="29">
        <v>647.70000000000005</v>
      </c>
      <c r="F19" s="29">
        <v>656.80000000000007</v>
      </c>
      <c r="G19" s="5">
        <f>IF(C19="","",IF(OR(G18="KILL",G18=""),"",IF(COUNTIF(E17:E19, 0) = 2, "Kill",IF(E19&gt;0,(E19+F19)/2,"Omit"))))</f>
        <v>652.25</v>
      </c>
      <c r="H19" s="5"/>
      <c r="I19" s="5" t="str">
        <f t="shared" si="1"/>
        <v/>
      </c>
      <c r="J19" s="3"/>
      <c r="K19" s="80" t="s">
        <v>475</v>
      </c>
      <c r="L19" s="6">
        <v>2800</v>
      </c>
      <c r="M19" s="30">
        <v>242.4</v>
      </c>
      <c r="N19" s="30">
        <v>251.5</v>
      </c>
      <c r="O19" s="5">
        <f>IF(K19="","",IF(OR(O18="KILL",O18=""),"",IF(COUNTIF(M17:M19, 0) = 2, "Kill",IF(M19&gt;0,(M19+N19)/2,"Omit"))))</f>
        <v>246.95</v>
      </c>
      <c r="P19" s="3"/>
      <c r="Q19" s="15"/>
      <c r="R19" s="15"/>
      <c r="S19" s="15"/>
      <c r="U19" s="18" t="s">
        <v>297</v>
      </c>
      <c r="V19" s="5">
        <v>1900</v>
      </c>
      <c r="W19" s="29">
        <v>646.80000000000007</v>
      </c>
      <c r="X19" s="29">
        <v>655.9</v>
      </c>
      <c r="Y19" s="5">
        <f>IF(U19="","",IF(OR(Y18="KILL",Y18=""),"",IF(COUNTIF(W17:W19, 0) = 2, "Kill",IF(W19&gt;0,(W19+X19)/2,"Omit"))))</f>
        <v>651.35</v>
      </c>
      <c r="Z19" s="5"/>
      <c r="AA19" s="5" t="str">
        <f t="shared" si="4"/>
        <v/>
      </c>
      <c r="AB19" s="3"/>
      <c r="AC19" s="80" t="s">
        <v>382</v>
      </c>
      <c r="AD19" s="6">
        <v>2800</v>
      </c>
      <c r="AE19" s="30">
        <v>243.3</v>
      </c>
      <c r="AF19" s="30">
        <v>252.4</v>
      </c>
      <c r="AG19" s="5">
        <f>IF(AC19="","",IF(OR(AG18="KILL",AG18=""),"",IF(COUNTIF(AE17:AE19, 0) = 2, "Kill",IF(AE19&gt;0,(AE19+AF19)/2,"Omit"))))</f>
        <v>247.85000000000002</v>
      </c>
      <c r="AI19" s="15"/>
      <c r="AJ19" s="15"/>
      <c r="AK19" s="15"/>
    </row>
    <row r="20" spans="3:37" x14ac:dyDescent="0.2">
      <c r="C20" s="78" t="s">
        <v>207</v>
      </c>
      <c r="D20" s="5">
        <v>1950</v>
      </c>
      <c r="E20" s="29">
        <v>598</v>
      </c>
      <c r="F20" s="29">
        <v>607.1</v>
      </c>
      <c r="G20" s="5">
        <f t="shared" ref="G20:G83" si="6">IF(C20="","",IF(OR(G19="KILL",G19=""),"",IF(COUNTIF(E18:E20, 0) = 2, "Kill",IF(E20&gt;0,(E20+F20)/2,"Omit"))))</f>
        <v>602.54999999999995</v>
      </c>
      <c r="H20" s="5"/>
      <c r="I20" s="5" t="str">
        <f t="shared" si="1"/>
        <v/>
      </c>
      <c r="J20" s="3"/>
      <c r="K20" s="80" t="s">
        <v>476</v>
      </c>
      <c r="L20" s="6">
        <v>2750</v>
      </c>
      <c r="M20" s="30">
        <v>192.5</v>
      </c>
      <c r="N20" s="30">
        <v>201.6</v>
      </c>
      <c r="O20" s="5">
        <f t="shared" ref="O20:O83" si="7">IF(K20="","",IF(OR(O19="KILL",O19=""),"",IF(COUNTIF(M18:M20, 0) = 2, "Kill",IF(M20&gt;0,(M20+N20)/2,"Omit"))))</f>
        <v>197.05</v>
      </c>
      <c r="P20" s="3"/>
      <c r="Q20" s="15"/>
      <c r="R20" s="15"/>
      <c r="S20" s="15"/>
      <c r="U20" s="18" t="s">
        <v>298</v>
      </c>
      <c r="V20" s="5">
        <v>1950</v>
      </c>
      <c r="W20" s="29">
        <v>596.80000000000007</v>
      </c>
      <c r="X20" s="29">
        <v>605.9</v>
      </c>
      <c r="Y20" s="5">
        <f t="shared" ref="Y20:Y83" si="8">IF(U20="","",IF(OR(Y19="KILL",Y19=""),"",IF(COUNTIF(W18:W20, 0) = 2, "Kill",IF(W20&gt;0,(W20+X20)/2,"Omit"))))</f>
        <v>601.35</v>
      </c>
      <c r="Z20" s="5"/>
      <c r="AA20" s="5" t="str">
        <f t="shared" si="4"/>
        <v/>
      </c>
      <c r="AB20" s="3"/>
      <c r="AC20" s="80" t="s">
        <v>383</v>
      </c>
      <c r="AD20" s="6">
        <v>2775</v>
      </c>
      <c r="AE20" s="30">
        <v>218.4</v>
      </c>
      <c r="AF20" s="30">
        <v>227.5</v>
      </c>
      <c r="AG20" s="5">
        <f t="shared" ref="AG20:AG83" si="9">IF(AC20="","",IF(OR(AG19="KILL",AG19=""),"",IF(COUNTIF(AE18:AE20, 0) = 2, "Kill",IF(AE20&gt;0,(AE20+AF20)/2,"Omit"))))</f>
        <v>222.95</v>
      </c>
      <c r="AI20" s="15"/>
      <c r="AJ20" s="15"/>
      <c r="AK20" s="15"/>
    </row>
    <row r="21" spans="3:37" x14ac:dyDescent="0.2">
      <c r="C21" s="78" t="s">
        <v>208</v>
      </c>
      <c r="D21" s="5">
        <v>2000</v>
      </c>
      <c r="E21" s="29">
        <v>548.1</v>
      </c>
      <c r="F21" s="29">
        <v>557.20000000000005</v>
      </c>
      <c r="G21" s="5">
        <f t="shared" si="6"/>
        <v>552.65000000000009</v>
      </c>
      <c r="H21" s="5"/>
      <c r="I21" s="5">
        <f t="shared" si="1"/>
        <v>171.95000000000002</v>
      </c>
      <c r="J21" s="3"/>
      <c r="K21" s="80" t="s">
        <v>477</v>
      </c>
      <c r="L21" s="6">
        <v>2725</v>
      </c>
      <c r="M21" s="30">
        <v>167.5</v>
      </c>
      <c r="N21" s="30">
        <v>176.6</v>
      </c>
      <c r="O21" s="5">
        <f t="shared" si="7"/>
        <v>172.05</v>
      </c>
      <c r="P21" s="3"/>
      <c r="Q21" s="15"/>
      <c r="R21" s="15"/>
      <c r="S21" s="15"/>
      <c r="U21" s="18" t="s">
        <v>299</v>
      </c>
      <c r="V21" s="5">
        <v>2000</v>
      </c>
      <c r="W21" s="29">
        <v>546.9</v>
      </c>
      <c r="X21" s="29">
        <v>556</v>
      </c>
      <c r="Y21" s="5">
        <f t="shared" si="8"/>
        <v>551.45000000000005</v>
      </c>
      <c r="Z21" s="5"/>
      <c r="AA21" s="5" t="str">
        <f t="shared" si="4"/>
        <v/>
      </c>
      <c r="AB21" s="3"/>
      <c r="AC21" s="80" t="s">
        <v>384</v>
      </c>
      <c r="AD21" s="6">
        <v>2750</v>
      </c>
      <c r="AE21" s="30">
        <v>193.3</v>
      </c>
      <c r="AF21" s="30">
        <v>202.4</v>
      </c>
      <c r="AG21" s="5">
        <f t="shared" si="9"/>
        <v>197.85000000000002</v>
      </c>
      <c r="AI21" s="15"/>
      <c r="AJ21" s="15"/>
      <c r="AK21" s="15"/>
    </row>
    <row r="22" spans="3:37" x14ac:dyDescent="0.2">
      <c r="C22" s="78" t="s">
        <v>209</v>
      </c>
      <c r="D22" s="5">
        <v>2025</v>
      </c>
      <c r="E22" s="29">
        <v>523</v>
      </c>
      <c r="F22" s="29">
        <v>532.1</v>
      </c>
      <c r="G22" s="5">
        <f t="shared" si="6"/>
        <v>527.54999999999995</v>
      </c>
      <c r="H22" s="5"/>
      <c r="I22" s="5">
        <f t="shared" si="1"/>
        <v>147.02500000000001</v>
      </c>
      <c r="J22" s="3"/>
      <c r="K22" s="80" t="s">
        <v>478</v>
      </c>
      <c r="L22" s="6">
        <v>2700</v>
      </c>
      <c r="M22" s="30">
        <v>142.6</v>
      </c>
      <c r="N22" s="30">
        <v>151.70000000000002</v>
      </c>
      <c r="O22" s="5">
        <f t="shared" si="7"/>
        <v>147.15</v>
      </c>
      <c r="P22" s="3"/>
      <c r="Q22" s="15"/>
      <c r="R22" s="15"/>
      <c r="S22" s="15"/>
      <c r="U22" s="18" t="s">
        <v>300</v>
      </c>
      <c r="V22" s="5">
        <v>2050</v>
      </c>
      <c r="W22" s="29">
        <v>497.1</v>
      </c>
      <c r="X22" s="29">
        <v>506.2</v>
      </c>
      <c r="Y22" s="5">
        <f t="shared" si="8"/>
        <v>501.65</v>
      </c>
      <c r="Z22" s="5"/>
      <c r="AA22" s="5">
        <f t="shared" si="4"/>
        <v>171.95000000000002</v>
      </c>
      <c r="AB22" s="3"/>
      <c r="AC22" s="80" t="s">
        <v>385</v>
      </c>
      <c r="AD22" s="6">
        <v>2725</v>
      </c>
      <c r="AE22" s="30">
        <v>168.5</v>
      </c>
      <c r="AF22" s="30">
        <v>177.6</v>
      </c>
      <c r="AG22" s="5">
        <f t="shared" si="9"/>
        <v>173.05</v>
      </c>
      <c r="AI22" s="15"/>
      <c r="AJ22" s="15"/>
      <c r="AK22" s="15"/>
    </row>
    <row r="23" spans="3:37" x14ac:dyDescent="0.2">
      <c r="C23" s="78" t="s">
        <v>210</v>
      </c>
      <c r="D23" s="5">
        <v>2050</v>
      </c>
      <c r="E23" s="29">
        <v>498.1</v>
      </c>
      <c r="F23" s="29">
        <v>507.2</v>
      </c>
      <c r="G23" s="5">
        <f t="shared" si="6"/>
        <v>502.65</v>
      </c>
      <c r="H23" s="5"/>
      <c r="I23" s="5">
        <f t="shared" si="1"/>
        <v>122.05</v>
      </c>
      <c r="J23" s="3"/>
      <c r="K23" s="80" t="s">
        <v>479</v>
      </c>
      <c r="L23" s="6">
        <v>2675</v>
      </c>
      <c r="M23" s="30">
        <v>117.7</v>
      </c>
      <c r="N23" s="30">
        <v>126.8</v>
      </c>
      <c r="O23" s="5">
        <f t="shared" si="7"/>
        <v>122.25</v>
      </c>
      <c r="P23" s="3"/>
      <c r="Q23" s="15"/>
      <c r="R23" s="15"/>
      <c r="S23" s="15"/>
      <c r="U23" s="18" t="s">
        <v>301</v>
      </c>
      <c r="V23" s="5">
        <v>2075</v>
      </c>
      <c r="W23" s="29">
        <v>472.2</v>
      </c>
      <c r="X23" s="29">
        <v>481.3</v>
      </c>
      <c r="Y23" s="5">
        <f t="shared" si="8"/>
        <v>476.75</v>
      </c>
      <c r="Z23" s="5"/>
      <c r="AA23" s="5">
        <f t="shared" si="4"/>
        <v>147.02500000000001</v>
      </c>
      <c r="AB23" s="3"/>
      <c r="AC23" s="80" t="s">
        <v>386</v>
      </c>
      <c r="AD23" s="6">
        <v>2700</v>
      </c>
      <c r="AE23" s="30">
        <v>143.5</v>
      </c>
      <c r="AF23" s="30">
        <v>152.6</v>
      </c>
      <c r="AG23" s="5">
        <f t="shared" si="9"/>
        <v>148.05000000000001</v>
      </c>
      <c r="AI23" s="15"/>
      <c r="AJ23" s="15"/>
      <c r="AK23" s="15"/>
    </row>
    <row r="24" spans="3:37" x14ac:dyDescent="0.2">
      <c r="C24" s="78" t="s">
        <v>211</v>
      </c>
      <c r="D24" s="5">
        <v>2075</v>
      </c>
      <c r="E24" s="29">
        <v>473.3</v>
      </c>
      <c r="F24" s="29">
        <v>482.40000000000003</v>
      </c>
      <c r="G24" s="5">
        <f t="shared" si="6"/>
        <v>477.85</v>
      </c>
      <c r="H24" s="5"/>
      <c r="I24" s="5">
        <f t="shared" si="1"/>
        <v>117.02500000000001</v>
      </c>
      <c r="J24" s="3"/>
      <c r="K24" s="80" t="s">
        <v>480</v>
      </c>
      <c r="L24" s="6">
        <v>2670</v>
      </c>
      <c r="M24" s="30">
        <v>112.7</v>
      </c>
      <c r="N24" s="30">
        <v>121.8</v>
      </c>
      <c r="O24" s="5">
        <f t="shared" si="7"/>
        <v>117.25</v>
      </c>
      <c r="P24" s="3"/>
      <c r="Q24" s="15"/>
      <c r="R24" s="15"/>
      <c r="S24" s="15"/>
      <c r="U24" s="18" t="s">
        <v>302</v>
      </c>
      <c r="V24" s="5">
        <v>2100</v>
      </c>
      <c r="W24" s="29">
        <v>447.3</v>
      </c>
      <c r="X24" s="29">
        <v>456.40000000000003</v>
      </c>
      <c r="Y24" s="5">
        <f t="shared" si="8"/>
        <v>451.85</v>
      </c>
      <c r="Z24" s="5"/>
      <c r="AA24" s="5">
        <f t="shared" si="4"/>
        <v>122.05</v>
      </c>
      <c r="AB24" s="3"/>
      <c r="AC24" s="80" t="s">
        <v>387</v>
      </c>
      <c r="AD24" s="6">
        <v>2675</v>
      </c>
      <c r="AE24" s="30">
        <v>118.8</v>
      </c>
      <c r="AF24" s="30">
        <v>127.9</v>
      </c>
      <c r="AG24" s="5">
        <f t="shared" si="9"/>
        <v>123.35</v>
      </c>
      <c r="AI24" s="15"/>
      <c r="AJ24" s="15"/>
      <c r="AK24" s="15"/>
    </row>
    <row r="25" spans="3:37" x14ac:dyDescent="0.2">
      <c r="C25" s="78" t="s">
        <v>212</v>
      </c>
      <c r="D25" s="5">
        <v>2100</v>
      </c>
      <c r="E25" s="29">
        <v>448.2</v>
      </c>
      <c r="F25" s="29">
        <v>457.3</v>
      </c>
      <c r="G25" s="5">
        <f t="shared" si="6"/>
        <v>452.75</v>
      </c>
      <c r="H25" s="5"/>
      <c r="I25" s="5">
        <f t="shared" si="1"/>
        <v>107.22499999999999</v>
      </c>
      <c r="J25" s="3"/>
      <c r="K25" s="80" t="s">
        <v>481</v>
      </c>
      <c r="L25" s="6">
        <v>2660</v>
      </c>
      <c r="M25" s="30">
        <v>103.10000000000001</v>
      </c>
      <c r="N25" s="30">
        <v>111.9</v>
      </c>
      <c r="O25" s="5">
        <f t="shared" si="7"/>
        <v>107.5</v>
      </c>
      <c r="P25" s="3"/>
      <c r="Q25" s="15"/>
      <c r="R25" s="15"/>
      <c r="S25" s="15"/>
      <c r="U25" s="18" t="s">
        <v>303</v>
      </c>
      <c r="V25" s="5">
        <v>2125</v>
      </c>
      <c r="W25" s="29">
        <v>422.40000000000003</v>
      </c>
      <c r="X25" s="29">
        <v>431.5</v>
      </c>
      <c r="Y25" s="5">
        <f t="shared" si="8"/>
        <v>426.95000000000005</v>
      </c>
      <c r="Z25" s="5"/>
      <c r="AA25" s="5">
        <f t="shared" si="4"/>
        <v>117.02500000000001</v>
      </c>
      <c r="AB25" s="3"/>
      <c r="AC25" s="80" t="s">
        <v>388</v>
      </c>
      <c r="AD25" s="6">
        <v>2670</v>
      </c>
      <c r="AE25" s="30">
        <v>113.9</v>
      </c>
      <c r="AF25" s="30">
        <v>122.8</v>
      </c>
      <c r="AG25" s="5">
        <f t="shared" si="9"/>
        <v>118.35</v>
      </c>
      <c r="AI25" s="15"/>
      <c r="AJ25" s="15"/>
      <c r="AK25" s="15"/>
    </row>
    <row r="26" spans="3:37" x14ac:dyDescent="0.2">
      <c r="C26" s="78" t="s">
        <v>213</v>
      </c>
      <c r="D26" s="5">
        <v>2125</v>
      </c>
      <c r="E26" s="29">
        <v>423.3</v>
      </c>
      <c r="F26" s="29">
        <v>432.40000000000003</v>
      </c>
      <c r="G26" s="5">
        <f t="shared" si="6"/>
        <v>427.85</v>
      </c>
      <c r="H26" s="5"/>
      <c r="I26" s="5">
        <f t="shared" si="1"/>
        <v>97.300000000000011</v>
      </c>
      <c r="J26" s="3"/>
      <c r="K26" s="80" t="s">
        <v>482</v>
      </c>
      <c r="L26" s="6">
        <v>2650</v>
      </c>
      <c r="M26" s="30">
        <v>93.9</v>
      </c>
      <c r="N26" s="30">
        <v>101.4</v>
      </c>
      <c r="O26" s="5">
        <f t="shared" si="7"/>
        <v>97.65</v>
      </c>
      <c r="P26" s="3"/>
      <c r="Q26" s="15"/>
      <c r="R26" s="15"/>
      <c r="S26" s="15"/>
      <c r="U26" s="18" t="s">
        <v>304</v>
      </c>
      <c r="V26" s="5">
        <v>2150</v>
      </c>
      <c r="W26" s="29">
        <v>397.7</v>
      </c>
      <c r="X26" s="29">
        <v>406.8</v>
      </c>
      <c r="Y26" s="5">
        <f t="shared" si="8"/>
        <v>402.25</v>
      </c>
      <c r="Z26" s="5"/>
      <c r="AA26" s="5">
        <f t="shared" si="4"/>
        <v>107.22499999999999</v>
      </c>
      <c r="AB26" s="3"/>
      <c r="AC26" s="80" t="s">
        <v>389</v>
      </c>
      <c r="AD26" s="6">
        <v>2660</v>
      </c>
      <c r="AE26" s="30">
        <v>103.8</v>
      </c>
      <c r="AF26" s="30">
        <v>112.9</v>
      </c>
      <c r="AG26" s="5">
        <f t="shared" si="9"/>
        <v>108.35</v>
      </c>
      <c r="AI26" s="15"/>
      <c r="AJ26" s="15"/>
      <c r="AK26" s="15"/>
    </row>
    <row r="27" spans="3:37" x14ac:dyDescent="0.2">
      <c r="C27" s="78" t="s">
        <v>214</v>
      </c>
      <c r="D27" s="5">
        <v>2150</v>
      </c>
      <c r="E27" s="29">
        <v>398.40000000000003</v>
      </c>
      <c r="F27" s="29">
        <v>407.5</v>
      </c>
      <c r="G27" s="5">
        <f t="shared" si="6"/>
        <v>402.95000000000005</v>
      </c>
      <c r="H27" s="5"/>
      <c r="I27" s="5">
        <f t="shared" si="1"/>
        <v>87.275000000000006</v>
      </c>
      <c r="J27" s="3"/>
      <c r="K27" s="80" t="s">
        <v>483</v>
      </c>
      <c r="L27" s="6">
        <v>2640</v>
      </c>
      <c r="M27" s="30">
        <v>84</v>
      </c>
      <c r="N27" s="30">
        <v>91.5</v>
      </c>
      <c r="O27" s="5">
        <f t="shared" si="7"/>
        <v>87.75</v>
      </c>
      <c r="P27" s="3"/>
      <c r="Q27" s="15"/>
      <c r="R27" s="15"/>
      <c r="S27" s="15"/>
      <c r="U27" s="18" t="s">
        <v>305</v>
      </c>
      <c r="V27" s="5">
        <v>2175</v>
      </c>
      <c r="W27" s="29">
        <v>372.7</v>
      </c>
      <c r="X27" s="29">
        <v>381.8</v>
      </c>
      <c r="Y27" s="5">
        <f t="shared" si="8"/>
        <v>377.25</v>
      </c>
      <c r="Z27" s="5"/>
      <c r="AA27" s="5">
        <f t="shared" si="4"/>
        <v>97.300000000000011</v>
      </c>
      <c r="AB27" s="3"/>
      <c r="AC27" s="80" t="s">
        <v>390</v>
      </c>
      <c r="AD27" s="6">
        <v>2650</v>
      </c>
      <c r="AE27" s="30">
        <v>94.100000000000009</v>
      </c>
      <c r="AF27" s="30">
        <v>102.5</v>
      </c>
      <c r="AG27" s="5">
        <f t="shared" si="9"/>
        <v>98.300000000000011</v>
      </c>
      <c r="AI27" s="15"/>
      <c r="AJ27" s="15"/>
      <c r="AK27" s="15"/>
    </row>
    <row r="28" spans="3:37" x14ac:dyDescent="0.2">
      <c r="C28" s="78" t="s">
        <v>215</v>
      </c>
      <c r="D28" s="5">
        <v>2175</v>
      </c>
      <c r="E28" s="29">
        <v>373.5</v>
      </c>
      <c r="F28" s="29">
        <v>382.6</v>
      </c>
      <c r="G28" s="5">
        <f t="shared" si="6"/>
        <v>378.05</v>
      </c>
      <c r="H28" s="5"/>
      <c r="I28" s="5">
        <f t="shared" si="1"/>
        <v>77.275000000000006</v>
      </c>
      <c r="J28" s="3"/>
      <c r="K28" s="80" t="s">
        <v>484</v>
      </c>
      <c r="L28" s="6">
        <v>2630</v>
      </c>
      <c r="M28" s="30">
        <v>74.2</v>
      </c>
      <c r="N28" s="30">
        <v>81.7</v>
      </c>
      <c r="O28" s="5">
        <f t="shared" si="7"/>
        <v>77.95</v>
      </c>
      <c r="P28" s="3"/>
      <c r="Q28" s="15"/>
      <c r="R28" s="15"/>
      <c r="S28" s="15"/>
      <c r="U28" s="18" t="s">
        <v>306</v>
      </c>
      <c r="V28" s="5">
        <v>2200</v>
      </c>
      <c r="W28" s="29">
        <v>348</v>
      </c>
      <c r="X28" s="29">
        <v>357.1</v>
      </c>
      <c r="Y28" s="5">
        <f t="shared" si="8"/>
        <v>352.55</v>
      </c>
      <c r="Z28" s="5"/>
      <c r="AA28" s="5">
        <f t="shared" si="4"/>
        <v>87.275000000000006</v>
      </c>
      <c r="AB28" s="3"/>
      <c r="AC28" s="80" t="s">
        <v>391</v>
      </c>
      <c r="AD28" s="6">
        <v>2640</v>
      </c>
      <c r="AE28" s="30">
        <v>84.3</v>
      </c>
      <c r="AF28" s="30">
        <v>92.7</v>
      </c>
      <c r="AG28" s="5">
        <f t="shared" si="9"/>
        <v>88.5</v>
      </c>
      <c r="AI28" s="15"/>
      <c r="AJ28" s="15"/>
      <c r="AK28" s="15"/>
    </row>
    <row r="29" spans="3:37" x14ac:dyDescent="0.2">
      <c r="C29" s="78" t="s">
        <v>216</v>
      </c>
      <c r="D29" s="5">
        <v>2200</v>
      </c>
      <c r="E29" s="29">
        <v>348.6</v>
      </c>
      <c r="F29" s="29">
        <v>357.7</v>
      </c>
      <c r="G29" s="5">
        <f t="shared" si="6"/>
        <v>353.15</v>
      </c>
      <c r="H29" s="5"/>
      <c r="I29" s="5">
        <f t="shared" si="1"/>
        <v>72.324999999999989</v>
      </c>
      <c r="J29" s="3"/>
      <c r="K29" s="80" t="s">
        <v>485</v>
      </c>
      <c r="L29" s="6">
        <v>2625</v>
      </c>
      <c r="M29" s="30">
        <v>69.400000000000006</v>
      </c>
      <c r="N29" s="30">
        <v>76.8</v>
      </c>
      <c r="O29" s="5">
        <f t="shared" si="7"/>
        <v>73.099999999999994</v>
      </c>
      <c r="P29" s="3"/>
      <c r="Q29" s="15"/>
      <c r="R29" s="15"/>
      <c r="S29" s="15"/>
      <c r="U29" s="18" t="s">
        <v>307</v>
      </c>
      <c r="V29" s="5">
        <v>2225</v>
      </c>
      <c r="W29" s="29">
        <v>323.2</v>
      </c>
      <c r="X29" s="29">
        <v>332.3</v>
      </c>
      <c r="Y29" s="5">
        <f t="shared" si="8"/>
        <v>327.75</v>
      </c>
      <c r="Z29" s="5"/>
      <c r="AA29" s="5">
        <f t="shared" si="4"/>
        <v>77.275000000000006</v>
      </c>
      <c r="AB29" s="3"/>
      <c r="AC29" s="80" t="s">
        <v>392</v>
      </c>
      <c r="AD29" s="6">
        <v>2630</v>
      </c>
      <c r="AE29" s="30">
        <v>74.7</v>
      </c>
      <c r="AF29" s="30">
        <v>83</v>
      </c>
      <c r="AG29" s="5">
        <f t="shared" si="9"/>
        <v>78.849999999999994</v>
      </c>
      <c r="AI29" s="15"/>
      <c r="AJ29" s="15"/>
      <c r="AK29" s="15"/>
    </row>
    <row r="30" spans="3:37" x14ac:dyDescent="0.2">
      <c r="C30" s="78" t="s">
        <v>217</v>
      </c>
      <c r="D30" s="5">
        <v>2225</v>
      </c>
      <c r="E30" s="29">
        <v>323.7</v>
      </c>
      <c r="F30" s="29">
        <v>332.8</v>
      </c>
      <c r="G30" s="5">
        <f t="shared" si="6"/>
        <v>328.25</v>
      </c>
      <c r="H30" s="5"/>
      <c r="I30" s="5">
        <f t="shared" si="1"/>
        <v>67.325000000000003</v>
      </c>
      <c r="J30" s="3"/>
      <c r="K30" s="80" t="s">
        <v>486</v>
      </c>
      <c r="L30" s="6">
        <v>2620</v>
      </c>
      <c r="M30" s="30">
        <v>64.5</v>
      </c>
      <c r="N30" s="30">
        <v>72</v>
      </c>
      <c r="O30" s="5">
        <f t="shared" si="7"/>
        <v>68.25</v>
      </c>
      <c r="P30" s="3"/>
      <c r="Q30" s="15"/>
      <c r="R30" s="15"/>
      <c r="S30" s="15"/>
      <c r="U30" s="18" t="s">
        <v>308</v>
      </c>
      <c r="V30" s="5">
        <v>2250</v>
      </c>
      <c r="W30" s="29">
        <v>298.3</v>
      </c>
      <c r="X30" s="29">
        <v>307.40000000000003</v>
      </c>
      <c r="Y30" s="5">
        <f t="shared" si="8"/>
        <v>302.85000000000002</v>
      </c>
      <c r="Z30" s="5"/>
      <c r="AA30" s="5">
        <f t="shared" si="4"/>
        <v>72.324999999999989</v>
      </c>
      <c r="AB30" s="3"/>
      <c r="AC30" s="80" t="s">
        <v>393</v>
      </c>
      <c r="AD30" s="6">
        <v>2625</v>
      </c>
      <c r="AE30" s="30">
        <v>69.900000000000006</v>
      </c>
      <c r="AF30" s="30">
        <v>78.2</v>
      </c>
      <c r="AG30" s="5">
        <f t="shared" si="9"/>
        <v>74.050000000000011</v>
      </c>
      <c r="AI30" s="15"/>
      <c r="AJ30" s="15"/>
      <c r="AK30" s="15"/>
    </row>
    <row r="31" spans="3:37" x14ac:dyDescent="0.2">
      <c r="C31" s="78" t="s">
        <v>218</v>
      </c>
      <c r="D31" s="5">
        <v>2230</v>
      </c>
      <c r="E31" s="29">
        <v>318.90000000000003</v>
      </c>
      <c r="F31" s="29">
        <v>328</v>
      </c>
      <c r="G31" s="5">
        <f t="shared" si="6"/>
        <v>323.45000000000005</v>
      </c>
      <c r="H31" s="5"/>
      <c r="I31" s="5">
        <f t="shared" si="1"/>
        <v>62.325000000000003</v>
      </c>
      <c r="J31" s="3"/>
      <c r="K31" s="80" t="s">
        <v>487</v>
      </c>
      <c r="L31" s="6">
        <v>2615</v>
      </c>
      <c r="M31" s="30">
        <v>59.7</v>
      </c>
      <c r="N31" s="30">
        <v>67.2</v>
      </c>
      <c r="O31" s="5">
        <f t="shared" si="7"/>
        <v>63.45</v>
      </c>
      <c r="P31" s="3"/>
      <c r="Q31" s="15"/>
      <c r="R31" s="15"/>
      <c r="S31" s="15"/>
      <c r="U31" s="18" t="s">
        <v>309</v>
      </c>
      <c r="V31" s="5">
        <v>2270</v>
      </c>
      <c r="W31" s="29">
        <v>278.5</v>
      </c>
      <c r="X31" s="29">
        <v>287.60000000000002</v>
      </c>
      <c r="Y31" s="5">
        <f t="shared" si="8"/>
        <v>283.05</v>
      </c>
      <c r="Z31" s="5"/>
      <c r="AA31" s="5">
        <f t="shared" si="4"/>
        <v>67.325000000000003</v>
      </c>
      <c r="AB31" s="3"/>
      <c r="AC31" s="80" t="s">
        <v>394</v>
      </c>
      <c r="AD31" s="6">
        <v>2620</v>
      </c>
      <c r="AE31" s="30">
        <v>65.2</v>
      </c>
      <c r="AF31" s="30">
        <v>73.5</v>
      </c>
      <c r="AG31" s="5">
        <f t="shared" si="9"/>
        <v>69.349999999999994</v>
      </c>
      <c r="AI31" s="15"/>
      <c r="AJ31" s="15"/>
      <c r="AK31" s="15"/>
    </row>
    <row r="32" spans="3:37" x14ac:dyDescent="0.2">
      <c r="C32" s="78" t="s">
        <v>219</v>
      </c>
      <c r="D32" s="5">
        <v>2240</v>
      </c>
      <c r="E32" s="29">
        <v>308.8</v>
      </c>
      <c r="F32" s="29">
        <v>317.90000000000003</v>
      </c>
      <c r="G32" s="5">
        <f t="shared" si="6"/>
        <v>313.35000000000002</v>
      </c>
      <c r="H32" s="5"/>
      <c r="I32" s="5">
        <f t="shared" si="1"/>
        <v>57.375</v>
      </c>
      <c r="J32" s="3"/>
      <c r="K32" s="80" t="s">
        <v>488</v>
      </c>
      <c r="L32" s="6">
        <v>2610</v>
      </c>
      <c r="M32" s="30">
        <v>55</v>
      </c>
      <c r="N32" s="30">
        <v>62.5</v>
      </c>
      <c r="O32" s="5">
        <f t="shared" si="7"/>
        <v>58.75</v>
      </c>
      <c r="P32" s="3"/>
      <c r="Q32" s="15"/>
      <c r="R32" s="15"/>
      <c r="S32" s="15"/>
      <c r="U32" s="18" t="s">
        <v>310</v>
      </c>
      <c r="V32" s="5">
        <v>2275</v>
      </c>
      <c r="W32" s="29">
        <v>273.7</v>
      </c>
      <c r="X32" s="29">
        <v>282.8</v>
      </c>
      <c r="Y32" s="5">
        <f t="shared" si="8"/>
        <v>278.25</v>
      </c>
      <c r="Z32" s="5"/>
      <c r="AA32" s="5">
        <f t="shared" si="4"/>
        <v>62.325000000000003</v>
      </c>
      <c r="AB32" s="3"/>
      <c r="AC32" s="80" t="s">
        <v>395</v>
      </c>
      <c r="AD32" s="6">
        <v>2615</v>
      </c>
      <c r="AE32" s="30">
        <v>60.5</v>
      </c>
      <c r="AF32" s="30">
        <v>68.8</v>
      </c>
      <c r="AG32" s="5">
        <f t="shared" si="9"/>
        <v>64.650000000000006</v>
      </c>
      <c r="AI32" s="15"/>
      <c r="AJ32" s="15"/>
      <c r="AK32" s="15"/>
    </row>
    <row r="33" spans="3:37" x14ac:dyDescent="0.2">
      <c r="C33" s="78" t="s">
        <v>220</v>
      </c>
      <c r="D33" s="5">
        <v>2250</v>
      </c>
      <c r="E33" s="29">
        <v>298.90000000000003</v>
      </c>
      <c r="F33" s="29">
        <v>308</v>
      </c>
      <c r="G33" s="5">
        <f t="shared" si="6"/>
        <v>303.45000000000005</v>
      </c>
      <c r="H33" s="5"/>
      <c r="I33" s="5">
        <f t="shared" si="1"/>
        <v>52.4</v>
      </c>
      <c r="J33" s="3"/>
      <c r="K33" s="80" t="s">
        <v>489</v>
      </c>
      <c r="L33" s="6">
        <v>2605</v>
      </c>
      <c r="M33" s="30">
        <v>50.4</v>
      </c>
      <c r="N33" s="30">
        <v>57.800000000000004</v>
      </c>
      <c r="O33" s="5">
        <f t="shared" si="7"/>
        <v>54.1</v>
      </c>
      <c r="P33" s="3"/>
      <c r="Q33" s="15"/>
      <c r="R33" s="15"/>
      <c r="S33" s="15"/>
      <c r="U33" s="18" t="s">
        <v>311</v>
      </c>
      <c r="V33" s="5">
        <v>2280</v>
      </c>
      <c r="W33" s="29">
        <v>268.60000000000002</v>
      </c>
      <c r="X33" s="29">
        <v>277.7</v>
      </c>
      <c r="Y33" s="5">
        <f t="shared" si="8"/>
        <v>273.14999999999998</v>
      </c>
      <c r="Z33" s="5"/>
      <c r="AA33" s="5">
        <f t="shared" si="4"/>
        <v>57.375</v>
      </c>
      <c r="AB33" s="3"/>
      <c r="AC33" s="80" t="s">
        <v>396</v>
      </c>
      <c r="AD33" s="6">
        <v>2610</v>
      </c>
      <c r="AE33" s="30">
        <v>59.9</v>
      </c>
      <c r="AF33" s="30">
        <v>61</v>
      </c>
      <c r="AG33" s="5">
        <f t="shared" si="9"/>
        <v>60.45</v>
      </c>
      <c r="AI33" s="15"/>
      <c r="AJ33" s="15"/>
      <c r="AK33" s="15"/>
    </row>
    <row r="34" spans="3:37" x14ac:dyDescent="0.2">
      <c r="C34" s="78" t="s">
        <v>221</v>
      </c>
      <c r="D34" s="5">
        <v>2260</v>
      </c>
      <c r="E34" s="29">
        <v>289.10000000000002</v>
      </c>
      <c r="F34" s="29">
        <v>298.2</v>
      </c>
      <c r="G34" s="5">
        <f t="shared" si="6"/>
        <v>293.64999999999998</v>
      </c>
      <c r="H34" s="5"/>
      <c r="I34" s="5">
        <f t="shared" si="1"/>
        <v>47.225000000000001</v>
      </c>
      <c r="J34" s="3"/>
      <c r="K34" s="80" t="s">
        <v>490</v>
      </c>
      <c r="L34" s="6">
        <v>2600</v>
      </c>
      <c r="M34" s="30">
        <v>48.7</v>
      </c>
      <c r="N34" s="30">
        <v>50</v>
      </c>
      <c r="O34" s="5">
        <f t="shared" si="7"/>
        <v>49.35</v>
      </c>
      <c r="P34" s="3"/>
      <c r="Q34" s="15"/>
      <c r="R34" s="15"/>
      <c r="S34" s="15"/>
      <c r="U34" s="18" t="s">
        <v>312</v>
      </c>
      <c r="V34" s="5">
        <v>2290</v>
      </c>
      <c r="W34" s="29">
        <v>258.7</v>
      </c>
      <c r="X34" s="29">
        <v>267.8</v>
      </c>
      <c r="Y34" s="5">
        <f t="shared" si="8"/>
        <v>263.25</v>
      </c>
      <c r="Z34" s="5"/>
      <c r="AA34" s="5">
        <f t="shared" si="4"/>
        <v>52.4</v>
      </c>
      <c r="AB34" s="3"/>
      <c r="AC34" s="80" t="s">
        <v>397</v>
      </c>
      <c r="AD34" s="6">
        <v>2605</v>
      </c>
      <c r="AE34" s="30">
        <v>55.4</v>
      </c>
      <c r="AF34" s="30">
        <v>56.5</v>
      </c>
      <c r="AG34" s="5">
        <f t="shared" si="9"/>
        <v>55.95</v>
      </c>
      <c r="AI34" s="15"/>
      <c r="AJ34" s="15"/>
      <c r="AK34" s="15"/>
    </row>
    <row r="35" spans="3:37" x14ac:dyDescent="0.2">
      <c r="C35" s="78" t="s">
        <v>222</v>
      </c>
      <c r="D35" s="5">
        <v>2270</v>
      </c>
      <c r="E35" s="29">
        <v>279</v>
      </c>
      <c r="F35" s="29">
        <v>288.10000000000002</v>
      </c>
      <c r="G35" s="5">
        <f t="shared" si="6"/>
        <v>283.55</v>
      </c>
      <c r="H35" s="5"/>
      <c r="I35" s="5">
        <f t="shared" si="1"/>
        <v>42.300000000000004</v>
      </c>
      <c r="J35" s="3"/>
      <c r="K35" s="80" t="s">
        <v>491</v>
      </c>
      <c r="L35" s="6">
        <v>2595</v>
      </c>
      <c r="M35" s="30">
        <v>44.300000000000004</v>
      </c>
      <c r="N35" s="30">
        <v>45.6</v>
      </c>
      <c r="O35" s="5">
        <f t="shared" si="7"/>
        <v>44.95</v>
      </c>
      <c r="P35" s="3"/>
      <c r="Q35" s="15"/>
      <c r="R35" s="15"/>
      <c r="S35" s="15"/>
      <c r="U35" s="18" t="s">
        <v>313</v>
      </c>
      <c r="V35" s="5">
        <v>2300</v>
      </c>
      <c r="W35" s="29">
        <v>248.9</v>
      </c>
      <c r="X35" s="29">
        <v>258</v>
      </c>
      <c r="Y35" s="5">
        <f t="shared" si="8"/>
        <v>253.45</v>
      </c>
      <c r="Z35" s="5"/>
      <c r="AA35" s="5">
        <f t="shared" si="4"/>
        <v>47.225000000000001</v>
      </c>
      <c r="AB35" s="3"/>
      <c r="AC35" s="80" t="s">
        <v>398</v>
      </c>
      <c r="AD35" s="6">
        <v>2600</v>
      </c>
      <c r="AE35" s="30">
        <v>50.9</v>
      </c>
      <c r="AF35" s="30">
        <v>52.1</v>
      </c>
      <c r="AG35" s="5">
        <f t="shared" si="9"/>
        <v>51.5</v>
      </c>
      <c r="AI35" s="15"/>
      <c r="AJ35" s="15"/>
      <c r="AK35" s="15"/>
    </row>
    <row r="36" spans="3:37" x14ac:dyDescent="0.2">
      <c r="C36" s="78" t="s">
        <v>223</v>
      </c>
      <c r="D36" s="5">
        <v>2275</v>
      </c>
      <c r="E36" s="29">
        <v>274.10000000000002</v>
      </c>
      <c r="F36" s="29">
        <v>283.2</v>
      </c>
      <c r="G36" s="5">
        <f t="shared" si="6"/>
        <v>278.64999999999998</v>
      </c>
      <c r="H36" s="5"/>
      <c r="I36" s="5">
        <f t="shared" si="1"/>
        <v>37.300000000000004</v>
      </c>
      <c r="J36" s="3"/>
      <c r="K36" s="80" t="s">
        <v>492</v>
      </c>
      <c r="L36" s="6">
        <v>2590</v>
      </c>
      <c r="M36" s="30">
        <v>40.1</v>
      </c>
      <c r="N36" s="30">
        <v>41.300000000000004</v>
      </c>
      <c r="O36" s="5">
        <f t="shared" si="7"/>
        <v>40.700000000000003</v>
      </c>
      <c r="P36" s="3"/>
      <c r="Q36" s="15"/>
      <c r="R36" s="15"/>
      <c r="S36" s="15"/>
      <c r="U36" s="18" t="s">
        <v>314</v>
      </c>
      <c r="V36" s="5">
        <v>2310</v>
      </c>
      <c r="W36" s="29">
        <v>239</v>
      </c>
      <c r="X36" s="29">
        <v>248.1</v>
      </c>
      <c r="Y36" s="5">
        <f t="shared" si="8"/>
        <v>243.55</v>
      </c>
      <c r="Z36" s="5"/>
      <c r="AA36" s="5">
        <f t="shared" si="4"/>
        <v>42.300000000000004</v>
      </c>
      <c r="AB36" s="3"/>
      <c r="AC36" s="80" t="s">
        <v>399</v>
      </c>
      <c r="AD36" s="6">
        <v>2595</v>
      </c>
      <c r="AE36" s="30">
        <v>46.9</v>
      </c>
      <c r="AF36" s="30">
        <v>47.4</v>
      </c>
      <c r="AG36" s="5">
        <f t="shared" si="9"/>
        <v>47.15</v>
      </c>
      <c r="AI36" s="15"/>
      <c r="AJ36" s="15"/>
      <c r="AK36" s="15"/>
    </row>
    <row r="37" spans="3:37" x14ac:dyDescent="0.2">
      <c r="C37" s="78" t="s">
        <v>224</v>
      </c>
      <c r="D37" s="5">
        <v>2280</v>
      </c>
      <c r="E37" s="29">
        <v>269.10000000000002</v>
      </c>
      <c r="F37" s="29">
        <v>278.2</v>
      </c>
      <c r="G37" s="5">
        <f t="shared" si="6"/>
        <v>273.64999999999998</v>
      </c>
      <c r="H37" s="5"/>
      <c r="I37" s="5">
        <f t="shared" si="1"/>
        <v>32.200000000000003</v>
      </c>
      <c r="J37" s="3"/>
      <c r="K37" s="80" t="s">
        <v>493</v>
      </c>
      <c r="L37" s="6">
        <v>2585</v>
      </c>
      <c r="M37" s="30">
        <v>36.300000000000004</v>
      </c>
      <c r="N37" s="30">
        <v>36.800000000000004</v>
      </c>
      <c r="O37" s="5">
        <f t="shared" si="7"/>
        <v>36.550000000000004</v>
      </c>
      <c r="P37" s="3"/>
      <c r="Q37" s="15"/>
      <c r="R37" s="15"/>
      <c r="S37" s="15"/>
      <c r="U37" s="18" t="s">
        <v>315</v>
      </c>
      <c r="V37" s="5">
        <v>2320</v>
      </c>
      <c r="W37" s="29">
        <v>229.20000000000002</v>
      </c>
      <c r="X37" s="29">
        <v>238.3</v>
      </c>
      <c r="Y37" s="5">
        <f t="shared" si="8"/>
        <v>233.75</v>
      </c>
      <c r="Z37" s="5"/>
      <c r="AA37" s="5">
        <f t="shared" si="4"/>
        <v>37.300000000000004</v>
      </c>
      <c r="AB37" s="3"/>
      <c r="AC37" s="80" t="s">
        <v>400</v>
      </c>
      <c r="AD37" s="6">
        <v>2590</v>
      </c>
      <c r="AE37" s="30">
        <v>42.9</v>
      </c>
      <c r="AF37" s="30">
        <v>43.4</v>
      </c>
      <c r="AG37" s="5">
        <f t="shared" si="9"/>
        <v>43.15</v>
      </c>
      <c r="AI37" s="15"/>
      <c r="AJ37" s="15"/>
      <c r="AK37" s="15"/>
    </row>
    <row r="38" spans="3:37" x14ac:dyDescent="0.2">
      <c r="C38" s="78" t="s">
        <v>225</v>
      </c>
      <c r="D38" s="5">
        <v>2290</v>
      </c>
      <c r="E38" s="29">
        <v>259.2</v>
      </c>
      <c r="F38" s="29">
        <v>268.3</v>
      </c>
      <c r="G38" s="5">
        <f t="shared" si="6"/>
        <v>263.75</v>
      </c>
      <c r="H38" s="5"/>
      <c r="I38" s="5">
        <f t="shared" si="1"/>
        <v>27.25</v>
      </c>
      <c r="J38" s="3"/>
      <c r="K38" s="80" t="s">
        <v>494</v>
      </c>
      <c r="L38" s="6">
        <v>2580</v>
      </c>
      <c r="M38" s="30">
        <v>32.5</v>
      </c>
      <c r="N38" s="30">
        <v>33</v>
      </c>
      <c r="O38" s="5">
        <f t="shared" si="7"/>
        <v>32.75</v>
      </c>
      <c r="P38" s="3"/>
      <c r="Q38" s="15"/>
      <c r="R38" s="15"/>
      <c r="S38" s="15"/>
      <c r="U38" s="18" t="s">
        <v>316</v>
      </c>
      <c r="V38" s="5">
        <v>2325</v>
      </c>
      <c r="W38" s="29">
        <v>224.20000000000002</v>
      </c>
      <c r="X38" s="29">
        <v>233.3</v>
      </c>
      <c r="Y38" s="5">
        <f t="shared" si="8"/>
        <v>228.75</v>
      </c>
      <c r="Z38" s="5"/>
      <c r="AA38" s="5">
        <f t="shared" si="4"/>
        <v>32.200000000000003</v>
      </c>
      <c r="AB38" s="3"/>
      <c r="AC38" s="80" t="s">
        <v>401</v>
      </c>
      <c r="AD38" s="6">
        <v>2585</v>
      </c>
      <c r="AE38" s="30">
        <v>39.1</v>
      </c>
      <c r="AF38" s="30">
        <v>39.6</v>
      </c>
      <c r="AG38" s="5">
        <f t="shared" si="9"/>
        <v>39.35</v>
      </c>
      <c r="AI38" s="15"/>
      <c r="AJ38" s="15"/>
      <c r="AK38" s="15"/>
    </row>
    <row r="39" spans="3:37" x14ac:dyDescent="0.2">
      <c r="C39" s="78" t="s">
        <v>226</v>
      </c>
      <c r="D39" s="5">
        <v>2300</v>
      </c>
      <c r="E39" s="29">
        <v>249.3</v>
      </c>
      <c r="F39" s="29">
        <v>258.39999999999998</v>
      </c>
      <c r="G39" s="5">
        <f t="shared" si="6"/>
        <v>253.85</v>
      </c>
      <c r="H39" s="5"/>
      <c r="I39" s="5">
        <f t="shared" si="1"/>
        <v>22.3</v>
      </c>
      <c r="J39" s="3"/>
      <c r="K39" s="80" t="s">
        <v>495</v>
      </c>
      <c r="L39" s="6">
        <v>2575</v>
      </c>
      <c r="M39" s="30">
        <v>29.1</v>
      </c>
      <c r="N39" s="30">
        <v>29.5</v>
      </c>
      <c r="O39" s="5">
        <f t="shared" si="7"/>
        <v>29.3</v>
      </c>
      <c r="P39" s="3"/>
      <c r="Q39" s="15"/>
      <c r="R39" s="15"/>
      <c r="S39" s="15"/>
      <c r="U39" s="18" t="s">
        <v>317</v>
      </c>
      <c r="V39" s="5">
        <v>2330</v>
      </c>
      <c r="W39" s="29">
        <v>219.3</v>
      </c>
      <c r="X39" s="29">
        <v>228.4</v>
      </c>
      <c r="Y39" s="5">
        <f t="shared" si="8"/>
        <v>223.85000000000002</v>
      </c>
      <c r="Z39" s="5"/>
      <c r="AA39" s="5">
        <f t="shared" si="4"/>
        <v>27.25</v>
      </c>
      <c r="AB39" s="3"/>
      <c r="AC39" s="80" t="s">
        <v>402</v>
      </c>
      <c r="AD39" s="6">
        <v>2580</v>
      </c>
      <c r="AE39" s="30">
        <v>35.5</v>
      </c>
      <c r="AF39" s="30">
        <v>36</v>
      </c>
      <c r="AG39" s="5">
        <f t="shared" si="9"/>
        <v>35.75</v>
      </c>
      <c r="AI39" s="15"/>
      <c r="AJ39" s="15"/>
      <c r="AK39" s="15"/>
    </row>
    <row r="40" spans="3:37" x14ac:dyDescent="0.2">
      <c r="C40" s="78" t="s">
        <v>227</v>
      </c>
      <c r="D40" s="5">
        <v>2310</v>
      </c>
      <c r="E40" s="29">
        <v>239.4</v>
      </c>
      <c r="F40" s="29">
        <v>248.5</v>
      </c>
      <c r="G40" s="5">
        <f t="shared" si="6"/>
        <v>243.95</v>
      </c>
      <c r="H40" s="5"/>
      <c r="I40" s="5">
        <f t="shared" si="1"/>
        <v>17.3</v>
      </c>
      <c r="J40" s="3"/>
      <c r="K40" s="80" t="s">
        <v>496</v>
      </c>
      <c r="L40" s="6">
        <v>2570</v>
      </c>
      <c r="M40" s="30">
        <v>25.900000000000002</v>
      </c>
      <c r="N40" s="30">
        <v>26.3</v>
      </c>
      <c r="O40" s="5">
        <f t="shared" si="7"/>
        <v>26.1</v>
      </c>
      <c r="P40" s="3"/>
      <c r="Q40" s="15"/>
      <c r="R40" s="15"/>
      <c r="S40" s="15"/>
      <c r="U40" s="18" t="s">
        <v>318</v>
      </c>
      <c r="V40" s="5">
        <v>2340</v>
      </c>
      <c r="W40" s="29">
        <v>209.5</v>
      </c>
      <c r="X40" s="29">
        <v>218.6</v>
      </c>
      <c r="Y40" s="5">
        <f t="shared" si="8"/>
        <v>214.05</v>
      </c>
      <c r="Z40" s="5"/>
      <c r="AA40" s="5">
        <f t="shared" si="4"/>
        <v>22.3</v>
      </c>
      <c r="AB40" s="3"/>
      <c r="AC40" s="80" t="s">
        <v>403</v>
      </c>
      <c r="AD40" s="6">
        <v>2575</v>
      </c>
      <c r="AE40" s="30">
        <v>32.299999999999997</v>
      </c>
      <c r="AF40" s="30">
        <v>32.700000000000003</v>
      </c>
      <c r="AG40" s="5">
        <f t="shared" si="9"/>
        <v>32.5</v>
      </c>
      <c r="AI40" s="15"/>
      <c r="AJ40" s="15"/>
      <c r="AK40" s="15"/>
    </row>
    <row r="41" spans="3:37" x14ac:dyDescent="0.2">
      <c r="C41" s="78" t="s">
        <v>228</v>
      </c>
      <c r="D41" s="5">
        <v>2320</v>
      </c>
      <c r="E41" s="29">
        <v>229.5</v>
      </c>
      <c r="F41" s="29">
        <v>238.6</v>
      </c>
      <c r="G41" s="5">
        <f t="shared" si="6"/>
        <v>234.05</v>
      </c>
      <c r="H41" s="5"/>
      <c r="I41" s="5">
        <f t="shared" ref="I41:I49" si="10">IF(L41="","",IFERROR(ABS(VLOOKUP(L41,$L$17:$O$271,4,FALSE)-VLOOKUP(L41,$D$17:$G$271,4,FALSE)),""))</f>
        <v>12.3</v>
      </c>
      <c r="J41" s="3"/>
      <c r="K41" s="80" t="s">
        <v>497</v>
      </c>
      <c r="L41" s="6">
        <v>2565</v>
      </c>
      <c r="M41" s="30">
        <v>23</v>
      </c>
      <c r="N41" s="30">
        <v>23.5</v>
      </c>
      <c r="O41" s="5">
        <f t="shared" si="7"/>
        <v>23.25</v>
      </c>
      <c r="P41" s="3"/>
      <c r="Q41" s="15"/>
      <c r="R41" s="15"/>
      <c r="S41" s="15"/>
      <c r="U41" s="18" t="s">
        <v>319</v>
      </c>
      <c r="V41" s="5">
        <v>2350</v>
      </c>
      <c r="W41" s="29">
        <v>199.70000000000002</v>
      </c>
      <c r="X41" s="29">
        <v>208.8</v>
      </c>
      <c r="Y41" s="5">
        <f t="shared" si="8"/>
        <v>204.25</v>
      </c>
      <c r="Z41" s="5"/>
      <c r="AA41" s="5">
        <f t="shared" si="4"/>
        <v>17.3</v>
      </c>
      <c r="AB41" s="3"/>
      <c r="AC41" s="80" t="s">
        <v>404</v>
      </c>
      <c r="AD41" s="6">
        <v>2570</v>
      </c>
      <c r="AE41" s="30">
        <v>29.2</v>
      </c>
      <c r="AF41" s="30">
        <v>29.7</v>
      </c>
      <c r="AG41" s="5">
        <f t="shared" si="9"/>
        <v>29.45</v>
      </c>
      <c r="AI41" s="15"/>
      <c r="AJ41" s="15"/>
      <c r="AK41" s="15"/>
    </row>
    <row r="42" spans="3:37" x14ac:dyDescent="0.2">
      <c r="C42" s="78" t="s">
        <v>229</v>
      </c>
      <c r="D42" s="5">
        <v>2325</v>
      </c>
      <c r="E42" s="29">
        <v>224.5</v>
      </c>
      <c r="F42" s="29">
        <v>233.6</v>
      </c>
      <c r="G42" s="5">
        <f t="shared" si="6"/>
        <v>229.05</v>
      </c>
      <c r="H42" s="5"/>
      <c r="I42" s="5">
        <f t="shared" si="10"/>
        <v>7.3000000000000007</v>
      </c>
      <c r="J42" s="3"/>
      <c r="K42" s="80" t="s">
        <v>498</v>
      </c>
      <c r="L42" s="6">
        <v>2560</v>
      </c>
      <c r="M42" s="30">
        <v>20.6</v>
      </c>
      <c r="N42" s="30">
        <v>20.900000000000002</v>
      </c>
      <c r="O42" s="5">
        <f t="shared" si="7"/>
        <v>20.75</v>
      </c>
      <c r="P42" s="3"/>
      <c r="Q42" s="15"/>
      <c r="R42" s="15"/>
      <c r="S42" s="15"/>
      <c r="U42" s="18" t="s">
        <v>320</v>
      </c>
      <c r="V42" s="5">
        <v>2360</v>
      </c>
      <c r="W42" s="29">
        <v>189.9</v>
      </c>
      <c r="X42" s="29">
        <v>199</v>
      </c>
      <c r="Y42" s="5">
        <f t="shared" si="8"/>
        <v>194.45</v>
      </c>
      <c r="Z42" s="5"/>
      <c r="AA42" s="5">
        <f t="shared" si="4"/>
        <v>12.3</v>
      </c>
      <c r="AB42" s="3"/>
      <c r="AC42" s="80" t="s">
        <v>405</v>
      </c>
      <c r="AD42" s="6">
        <v>2565</v>
      </c>
      <c r="AE42" s="30">
        <v>26.6</v>
      </c>
      <c r="AF42" s="30">
        <v>27</v>
      </c>
      <c r="AG42" s="5">
        <f t="shared" si="9"/>
        <v>26.8</v>
      </c>
      <c r="AI42" s="15"/>
      <c r="AJ42" s="15"/>
      <c r="AK42" s="15"/>
    </row>
    <row r="43" spans="3:37" x14ac:dyDescent="0.2">
      <c r="C43" s="78" t="s">
        <v>230</v>
      </c>
      <c r="D43" s="5">
        <v>2330</v>
      </c>
      <c r="E43" s="29">
        <v>219.6</v>
      </c>
      <c r="F43" s="29">
        <v>228.70000000000002</v>
      </c>
      <c r="G43" s="5">
        <f t="shared" si="6"/>
        <v>224.15</v>
      </c>
      <c r="H43" s="5"/>
      <c r="I43" s="5">
        <f t="shared" si="10"/>
        <v>2.3500000000000014</v>
      </c>
      <c r="J43" s="3"/>
      <c r="K43" s="80" t="s">
        <v>499</v>
      </c>
      <c r="L43" s="6">
        <v>2555</v>
      </c>
      <c r="M43" s="30">
        <v>18.3</v>
      </c>
      <c r="N43" s="30">
        <v>18.900000000000002</v>
      </c>
      <c r="O43" s="5">
        <f t="shared" si="7"/>
        <v>18.600000000000001</v>
      </c>
      <c r="P43" s="3"/>
      <c r="Q43" s="15"/>
      <c r="R43" s="15"/>
      <c r="S43" s="15"/>
      <c r="U43" s="18" t="s">
        <v>321</v>
      </c>
      <c r="V43" s="5">
        <v>2370</v>
      </c>
      <c r="W43" s="29">
        <v>180.1</v>
      </c>
      <c r="X43" s="29">
        <v>189.20000000000002</v>
      </c>
      <c r="Y43" s="5">
        <f t="shared" si="8"/>
        <v>184.65</v>
      </c>
      <c r="Z43" s="5"/>
      <c r="AA43" s="5">
        <f t="shared" si="4"/>
        <v>7.3000000000000007</v>
      </c>
      <c r="AB43" s="3"/>
      <c r="AC43" s="80" t="s">
        <v>406</v>
      </c>
      <c r="AD43" s="6">
        <v>2560</v>
      </c>
      <c r="AE43" s="30">
        <v>24.2</v>
      </c>
      <c r="AF43" s="30">
        <v>24.5</v>
      </c>
      <c r="AG43" s="5">
        <f t="shared" si="9"/>
        <v>24.35</v>
      </c>
      <c r="AI43" s="15"/>
      <c r="AJ43" s="15"/>
      <c r="AK43" s="15"/>
    </row>
    <row r="44" spans="3:37" x14ac:dyDescent="0.2">
      <c r="C44" s="78" t="s">
        <v>231</v>
      </c>
      <c r="D44" s="5">
        <v>2340</v>
      </c>
      <c r="E44" s="29">
        <v>209.70000000000002</v>
      </c>
      <c r="F44" s="29">
        <v>218.8</v>
      </c>
      <c r="G44" s="5">
        <f t="shared" si="6"/>
        <v>214.25</v>
      </c>
      <c r="H44" s="5"/>
      <c r="I44" s="5">
        <f t="shared" si="10"/>
        <v>2.75</v>
      </c>
      <c r="J44" s="3"/>
      <c r="K44" s="80" t="s">
        <v>500</v>
      </c>
      <c r="L44" s="6">
        <v>2550</v>
      </c>
      <c r="M44" s="30">
        <v>16.399999999999999</v>
      </c>
      <c r="N44" s="30">
        <v>16.899999999999999</v>
      </c>
      <c r="O44" s="5">
        <f t="shared" si="7"/>
        <v>16.649999999999999</v>
      </c>
      <c r="P44" s="3"/>
      <c r="Q44" s="15"/>
      <c r="R44" s="15"/>
      <c r="S44" s="15"/>
      <c r="U44" s="18" t="s">
        <v>322</v>
      </c>
      <c r="V44" s="5">
        <v>2375</v>
      </c>
      <c r="W44" s="29">
        <v>175.3</v>
      </c>
      <c r="X44" s="29">
        <v>184.4</v>
      </c>
      <c r="Y44" s="5">
        <f t="shared" si="8"/>
        <v>179.85000000000002</v>
      </c>
      <c r="Z44" s="5"/>
      <c r="AA44" s="5">
        <f t="shared" si="4"/>
        <v>2.3500000000000014</v>
      </c>
      <c r="AB44" s="3"/>
      <c r="AC44" s="80" t="s">
        <v>407</v>
      </c>
      <c r="AD44" s="6">
        <v>2555</v>
      </c>
      <c r="AE44" s="30">
        <v>22</v>
      </c>
      <c r="AF44" s="30">
        <v>22.3</v>
      </c>
      <c r="AG44" s="5">
        <f t="shared" si="9"/>
        <v>22.15</v>
      </c>
      <c r="AI44" s="15"/>
      <c r="AJ44" s="15"/>
      <c r="AK44" s="15"/>
    </row>
    <row r="45" spans="3:37" x14ac:dyDescent="0.2">
      <c r="C45" s="78" t="s">
        <v>232</v>
      </c>
      <c r="D45" s="5">
        <v>2350</v>
      </c>
      <c r="E45" s="29">
        <v>199.8</v>
      </c>
      <c r="F45" s="29">
        <v>208.9</v>
      </c>
      <c r="G45" s="5">
        <f t="shared" si="6"/>
        <v>204.35000000000002</v>
      </c>
      <c r="H45" s="5"/>
      <c r="I45" s="5">
        <f t="shared" si="10"/>
        <v>7.6500000000000021</v>
      </c>
      <c r="J45" s="3"/>
      <c r="K45" s="80" t="s">
        <v>501</v>
      </c>
      <c r="L45" s="6">
        <v>2545</v>
      </c>
      <c r="M45" s="30">
        <v>14.9</v>
      </c>
      <c r="N45" s="30">
        <v>15.200000000000001</v>
      </c>
      <c r="O45" s="5">
        <f t="shared" si="7"/>
        <v>15.05</v>
      </c>
      <c r="P45" s="3"/>
      <c r="Q45" s="15"/>
      <c r="R45" s="15"/>
      <c r="S45" s="15"/>
      <c r="U45" s="18" t="s">
        <v>323</v>
      </c>
      <c r="V45" s="5">
        <v>2380</v>
      </c>
      <c r="W45" s="29">
        <v>170.4</v>
      </c>
      <c r="X45" s="29">
        <v>179.5</v>
      </c>
      <c r="Y45" s="5">
        <f t="shared" si="8"/>
        <v>174.95</v>
      </c>
      <c r="Z45" s="5"/>
      <c r="AA45" s="5">
        <f t="shared" si="4"/>
        <v>2.75</v>
      </c>
      <c r="AB45" s="3"/>
      <c r="AC45" s="80" t="s">
        <v>408</v>
      </c>
      <c r="AD45" s="6">
        <v>2550</v>
      </c>
      <c r="AE45" s="30">
        <v>20.100000000000001</v>
      </c>
      <c r="AF45" s="30">
        <v>20.400000000000002</v>
      </c>
      <c r="AG45" s="5">
        <f t="shared" si="9"/>
        <v>20.25</v>
      </c>
      <c r="AI45" s="15"/>
      <c r="AJ45" s="15"/>
      <c r="AK45" s="15"/>
    </row>
    <row r="46" spans="3:37" x14ac:dyDescent="0.2">
      <c r="C46" s="78" t="s">
        <v>233</v>
      </c>
      <c r="D46" s="5">
        <v>2355</v>
      </c>
      <c r="E46" s="29">
        <v>194.9</v>
      </c>
      <c r="F46" s="29">
        <v>204</v>
      </c>
      <c r="G46" s="5">
        <f t="shared" si="6"/>
        <v>199.45</v>
      </c>
      <c r="H46" s="5"/>
      <c r="I46" s="5">
        <f t="shared" si="10"/>
        <v>12.65</v>
      </c>
      <c r="J46" s="3"/>
      <c r="K46" s="80" t="s">
        <v>502</v>
      </c>
      <c r="L46" s="6">
        <v>2540</v>
      </c>
      <c r="M46" s="30">
        <v>13.5</v>
      </c>
      <c r="N46" s="30">
        <v>13.8</v>
      </c>
      <c r="O46" s="5">
        <f t="shared" si="7"/>
        <v>13.65</v>
      </c>
      <c r="P46" s="3"/>
      <c r="Q46" s="15"/>
      <c r="R46" s="15"/>
      <c r="S46" s="15"/>
      <c r="U46" s="18" t="s">
        <v>324</v>
      </c>
      <c r="V46" s="5">
        <v>2390</v>
      </c>
      <c r="W46" s="29">
        <v>160.70000000000002</v>
      </c>
      <c r="X46" s="29">
        <v>169.8</v>
      </c>
      <c r="Y46" s="5">
        <f t="shared" si="8"/>
        <v>165.25</v>
      </c>
      <c r="Z46" s="5"/>
      <c r="AA46" s="5">
        <f t="shared" si="4"/>
        <v>7.6500000000000021</v>
      </c>
      <c r="AB46" s="3"/>
      <c r="AC46" s="80" t="s">
        <v>409</v>
      </c>
      <c r="AD46" s="6">
        <v>2545</v>
      </c>
      <c r="AE46" s="30">
        <v>18.400000000000002</v>
      </c>
      <c r="AF46" s="30">
        <v>18.7</v>
      </c>
      <c r="AG46" s="5">
        <f t="shared" si="9"/>
        <v>18.55</v>
      </c>
      <c r="AI46" s="15"/>
      <c r="AJ46" s="15"/>
      <c r="AK46" s="15"/>
    </row>
    <row r="47" spans="3:37" x14ac:dyDescent="0.2">
      <c r="C47" s="78" t="s">
        <v>234</v>
      </c>
      <c r="D47" s="5">
        <v>2360</v>
      </c>
      <c r="E47" s="29">
        <v>190</v>
      </c>
      <c r="F47" s="29">
        <v>199.1</v>
      </c>
      <c r="G47" s="5">
        <f t="shared" si="6"/>
        <v>194.55</v>
      </c>
      <c r="H47" s="5"/>
      <c r="I47" s="5">
        <f t="shared" si="10"/>
        <v>17.650000000000002</v>
      </c>
      <c r="J47" s="3"/>
      <c r="K47" s="80" t="s">
        <v>503</v>
      </c>
      <c r="L47" s="6">
        <v>2535</v>
      </c>
      <c r="M47" s="30">
        <v>12.3</v>
      </c>
      <c r="N47" s="30">
        <v>12.6</v>
      </c>
      <c r="O47" s="5">
        <f t="shared" si="7"/>
        <v>12.45</v>
      </c>
      <c r="P47" s="3"/>
      <c r="Q47" s="15"/>
      <c r="R47" s="15"/>
      <c r="S47" s="15"/>
      <c r="U47" s="18" t="s">
        <v>325</v>
      </c>
      <c r="V47" s="5">
        <v>2395</v>
      </c>
      <c r="W47" s="29">
        <v>159.6</v>
      </c>
      <c r="X47" s="29">
        <v>160.9</v>
      </c>
      <c r="Y47" s="5">
        <f t="shared" si="8"/>
        <v>160.25</v>
      </c>
      <c r="Z47" s="5"/>
      <c r="AA47" s="5">
        <f t="shared" si="4"/>
        <v>12.65</v>
      </c>
      <c r="AB47" s="3"/>
      <c r="AC47" s="80" t="s">
        <v>410</v>
      </c>
      <c r="AD47" s="6">
        <v>2540</v>
      </c>
      <c r="AE47" s="30">
        <v>16.899999999999999</v>
      </c>
      <c r="AF47" s="30">
        <v>17.2</v>
      </c>
      <c r="AG47" s="5">
        <f t="shared" si="9"/>
        <v>17.049999999999997</v>
      </c>
      <c r="AI47" s="15"/>
      <c r="AJ47" s="15"/>
      <c r="AK47" s="15"/>
    </row>
    <row r="48" spans="3:37" x14ac:dyDescent="0.2">
      <c r="C48" s="78" t="s">
        <v>235</v>
      </c>
      <c r="D48" s="5">
        <v>2365</v>
      </c>
      <c r="E48" s="29">
        <v>185.1</v>
      </c>
      <c r="F48" s="29">
        <v>194.20000000000002</v>
      </c>
      <c r="G48" s="5">
        <f t="shared" si="6"/>
        <v>189.65</v>
      </c>
      <c r="H48" s="5"/>
      <c r="I48" s="5">
        <f t="shared" si="10"/>
        <v>22.65</v>
      </c>
      <c r="J48" s="3"/>
      <c r="K48" s="80" t="s">
        <v>504</v>
      </c>
      <c r="L48" s="6">
        <v>2530</v>
      </c>
      <c r="M48" s="30">
        <v>11.200000000000001</v>
      </c>
      <c r="N48" s="30">
        <v>11.6</v>
      </c>
      <c r="O48" s="5">
        <f t="shared" si="7"/>
        <v>11.4</v>
      </c>
      <c r="P48" s="3"/>
      <c r="Q48" s="15"/>
      <c r="R48" s="15"/>
      <c r="S48" s="15"/>
      <c r="U48" s="18" t="s">
        <v>326</v>
      </c>
      <c r="V48" s="5">
        <v>2400</v>
      </c>
      <c r="W48" s="29">
        <v>154.70000000000002</v>
      </c>
      <c r="X48" s="29">
        <v>156.1</v>
      </c>
      <c r="Y48" s="5">
        <f t="shared" si="8"/>
        <v>155.4</v>
      </c>
      <c r="Z48" s="5"/>
      <c r="AA48" s="5">
        <f t="shared" si="4"/>
        <v>17.650000000000002</v>
      </c>
      <c r="AB48" s="3"/>
      <c r="AC48" s="80" t="s">
        <v>411</v>
      </c>
      <c r="AD48" s="6">
        <v>2535</v>
      </c>
      <c r="AE48" s="30">
        <v>15.6</v>
      </c>
      <c r="AF48" s="30">
        <v>15.9</v>
      </c>
      <c r="AG48" s="5">
        <f t="shared" si="9"/>
        <v>15.75</v>
      </c>
      <c r="AI48" s="15"/>
      <c r="AJ48" s="15"/>
      <c r="AK48" s="15"/>
    </row>
    <row r="49" spans="3:37" x14ac:dyDescent="0.2">
      <c r="C49" s="78" t="s">
        <v>236</v>
      </c>
      <c r="D49" s="5">
        <v>2370</v>
      </c>
      <c r="E49" s="29">
        <v>180.3</v>
      </c>
      <c r="F49" s="29">
        <v>189.4</v>
      </c>
      <c r="G49" s="5">
        <f t="shared" si="6"/>
        <v>184.85000000000002</v>
      </c>
      <c r="H49" s="5"/>
      <c r="I49" s="5">
        <f t="shared" si="10"/>
        <v>27.65</v>
      </c>
      <c r="J49" s="3"/>
      <c r="K49" s="80" t="s">
        <v>505</v>
      </c>
      <c r="L49" s="6">
        <v>2525</v>
      </c>
      <c r="M49" s="30">
        <v>10.200000000000001</v>
      </c>
      <c r="N49" s="30">
        <v>10.700000000000001</v>
      </c>
      <c r="O49" s="5">
        <f t="shared" si="7"/>
        <v>10.450000000000001</v>
      </c>
      <c r="P49" s="3"/>
      <c r="Q49" s="15"/>
      <c r="R49" s="15"/>
      <c r="S49" s="15"/>
      <c r="U49" s="18" t="s">
        <v>327</v>
      </c>
      <c r="V49" s="5">
        <v>2405</v>
      </c>
      <c r="W49" s="29">
        <v>149.9</v>
      </c>
      <c r="X49" s="29">
        <v>151.20000000000002</v>
      </c>
      <c r="Y49" s="5">
        <f t="shared" si="8"/>
        <v>150.55000000000001</v>
      </c>
      <c r="Z49" s="5"/>
      <c r="AA49" s="5">
        <f t="shared" si="4"/>
        <v>22.65</v>
      </c>
      <c r="AB49" s="3"/>
      <c r="AC49" s="80" t="s">
        <v>412</v>
      </c>
      <c r="AD49" s="6">
        <v>2530</v>
      </c>
      <c r="AE49" s="30">
        <v>14.5</v>
      </c>
      <c r="AF49" s="30">
        <v>14.8</v>
      </c>
      <c r="AG49" s="5">
        <f t="shared" si="9"/>
        <v>14.65</v>
      </c>
      <c r="AI49" s="15"/>
      <c r="AJ49" s="15"/>
      <c r="AK49" s="15"/>
    </row>
    <row r="50" spans="3:37" x14ac:dyDescent="0.2">
      <c r="C50" s="78" t="s">
        <v>237</v>
      </c>
      <c r="D50" s="5">
        <v>2375</v>
      </c>
      <c r="E50" s="29">
        <v>175.20000000000002</v>
      </c>
      <c r="F50" s="29">
        <v>184.3</v>
      </c>
      <c r="G50" s="5">
        <f t="shared" si="6"/>
        <v>179.75</v>
      </c>
      <c r="H50" s="5"/>
      <c r="I50" s="5">
        <f t="shared" si="1"/>
        <v>32.6</v>
      </c>
      <c r="J50" s="3"/>
      <c r="K50" s="80" t="s">
        <v>506</v>
      </c>
      <c r="L50" s="6">
        <v>2520</v>
      </c>
      <c r="M50" s="30">
        <v>9.5</v>
      </c>
      <c r="N50" s="30">
        <v>9.8000000000000007</v>
      </c>
      <c r="O50" s="5">
        <f t="shared" si="7"/>
        <v>9.65</v>
      </c>
      <c r="P50" s="3"/>
      <c r="Q50" s="15"/>
      <c r="R50" s="15"/>
      <c r="S50" s="15"/>
      <c r="U50" s="18" t="s">
        <v>328</v>
      </c>
      <c r="V50" s="5">
        <v>2410</v>
      </c>
      <c r="W50" s="29">
        <v>145.1</v>
      </c>
      <c r="X50" s="29">
        <v>146.4</v>
      </c>
      <c r="Y50" s="5">
        <f t="shared" si="8"/>
        <v>145.75</v>
      </c>
      <c r="Z50" s="5"/>
      <c r="AA50" s="5">
        <f t="shared" si="4"/>
        <v>27.65</v>
      </c>
      <c r="AB50" s="3"/>
      <c r="AC50" s="80" t="s">
        <v>413</v>
      </c>
      <c r="AD50" s="6">
        <v>2525</v>
      </c>
      <c r="AE50" s="30">
        <v>13.4</v>
      </c>
      <c r="AF50" s="30">
        <v>13.700000000000001</v>
      </c>
      <c r="AG50" s="5">
        <f t="shared" si="9"/>
        <v>13.55</v>
      </c>
      <c r="AI50" s="15"/>
      <c r="AJ50" s="15"/>
      <c r="AK50" s="15"/>
    </row>
    <row r="51" spans="3:37" x14ac:dyDescent="0.2">
      <c r="C51" s="78" t="s">
        <v>238</v>
      </c>
      <c r="D51" s="5">
        <v>2380</v>
      </c>
      <c r="E51" s="29">
        <v>170.3</v>
      </c>
      <c r="F51" s="29">
        <v>179.4</v>
      </c>
      <c r="G51" s="5">
        <f t="shared" si="6"/>
        <v>174.85000000000002</v>
      </c>
      <c r="H51" s="5"/>
      <c r="I51" s="5">
        <f t="shared" si="1"/>
        <v>37.700000000000003</v>
      </c>
      <c r="J51" s="3"/>
      <c r="K51" s="80" t="s">
        <v>507</v>
      </c>
      <c r="L51" s="6">
        <v>2515</v>
      </c>
      <c r="M51" s="30">
        <v>8.7000000000000011</v>
      </c>
      <c r="N51" s="30">
        <v>9</v>
      </c>
      <c r="O51" s="5">
        <f t="shared" si="7"/>
        <v>8.8500000000000014</v>
      </c>
      <c r="P51" s="3"/>
      <c r="Q51" s="15"/>
      <c r="R51" s="15"/>
      <c r="S51" s="15"/>
      <c r="U51" s="18" t="s">
        <v>329</v>
      </c>
      <c r="V51" s="5">
        <v>2415</v>
      </c>
      <c r="W51" s="29">
        <v>140.20000000000002</v>
      </c>
      <c r="X51" s="29">
        <v>141.5</v>
      </c>
      <c r="Y51" s="5">
        <f t="shared" si="8"/>
        <v>140.85000000000002</v>
      </c>
      <c r="Z51" s="5"/>
      <c r="AA51" s="5">
        <f t="shared" si="4"/>
        <v>32.6</v>
      </c>
      <c r="AB51" s="3"/>
      <c r="AC51" s="80" t="s">
        <v>414</v>
      </c>
      <c r="AD51" s="6">
        <v>2520</v>
      </c>
      <c r="AE51" s="30">
        <v>12.5</v>
      </c>
      <c r="AF51" s="30">
        <v>12.8</v>
      </c>
      <c r="AG51" s="5">
        <f t="shared" si="9"/>
        <v>12.65</v>
      </c>
      <c r="AI51" s="15"/>
      <c r="AJ51" s="15"/>
      <c r="AK51" s="15"/>
    </row>
    <row r="52" spans="3:37" x14ac:dyDescent="0.2">
      <c r="C52" s="78" t="s">
        <v>239</v>
      </c>
      <c r="D52" s="5">
        <v>2385</v>
      </c>
      <c r="E52" s="29">
        <v>165.4</v>
      </c>
      <c r="F52" s="29">
        <v>174.5</v>
      </c>
      <c r="G52" s="5">
        <f t="shared" si="6"/>
        <v>169.95</v>
      </c>
      <c r="H52" s="5"/>
      <c r="I52" s="5">
        <f t="shared" si="1"/>
        <v>42.650000000000006</v>
      </c>
      <c r="J52" s="3"/>
      <c r="K52" s="80" t="s">
        <v>508</v>
      </c>
      <c r="L52" s="6">
        <v>2510</v>
      </c>
      <c r="M52" s="30">
        <v>8.1</v>
      </c>
      <c r="N52" s="30">
        <v>8.4</v>
      </c>
      <c r="O52" s="5">
        <f t="shared" si="7"/>
        <v>8.25</v>
      </c>
      <c r="P52" s="3"/>
      <c r="Q52" s="15"/>
      <c r="R52" s="15"/>
      <c r="S52" s="15"/>
      <c r="U52" s="18" t="s">
        <v>330</v>
      </c>
      <c r="V52" s="5">
        <v>2420</v>
      </c>
      <c r="W52" s="29">
        <v>135.4</v>
      </c>
      <c r="X52" s="29">
        <v>136.70000000000002</v>
      </c>
      <c r="Y52" s="5">
        <f t="shared" si="8"/>
        <v>136.05000000000001</v>
      </c>
      <c r="Z52" s="5"/>
      <c r="AA52" s="5">
        <f t="shared" si="4"/>
        <v>37.700000000000003</v>
      </c>
      <c r="AB52" s="3"/>
      <c r="AC52" s="80" t="s">
        <v>415</v>
      </c>
      <c r="AD52" s="6">
        <v>2515</v>
      </c>
      <c r="AE52" s="30">
        <v>11.700000000000001</v>
      </c>
      <c r="AF52" s="30">
        <v>12</v>
      </c>
      <c r="AG52" s="5">
        <f t="shared" si="9"/>
        <v>11.850000000000001</v>
      </c>
      <c r="AI52" s="15"/>
      <c r="AJ52" s="15"/>
      <c r="AK52" s="15"/>
    </row>
    <row r="53" spans="3:37" x14ac:dyDescent="0.2">
      <c r="C53" s="78" t="s">
        <v>240</v>
      </c>
      <c r="D53" s="5">
        <v>2390</v>
      </c>
      <c r="E53" s="29">
        <v>160.5</v>
      </c>
      <c r="F53" s="29">
        <v>169.6</v>
      </c>
      <c r="G53" s="5">
        <f t="shared" si="6"/>
        <v>165.05</v>
      </c>
      <c r="H53" s="5"/>
      <c r="I53" s="5">
        <f t="shared" si="1"/>
        <v>47.6</v>
      </c>
      <c r="J53" s="3"/>
      <c r="K53" s="80" t="s">
        <v>509</v>
      </c>
      <c r="L53" s="6">
        <v>2505</v>
      </c>
      <c r="M53" s="30">
        <v>7.5</v>
      </c>
      <c r="N53" s="30">
        <v>7.8</v>
      </c>
      <c r="O53" s="5">
        <f t="shared" si="7"/>
        <v>7.65</v>
      </c>
      <c r="P53" s="3"/>
      <c r="Q53" s="15"/>
      <c r="R53" s="15"/>
      <c r="S53" s="15"/>
      <c r="U53" s="18" t="s">
        <v>331</v>
      </c>
      <c r="V53" s="5">
        <v>2425</v>
      </c>
      <c r="W53" s="29">
        <v>130.6</v>
      </c>
      <c r="X53" s="29">
        <v>131.9</v>
      </c>
      <c r="Y53" s="5">
        <f t="shared" si="8"/>
        <v>131.25</v>
      </c>
      <c r="Z53" s="5"/>
      <c r="AA53" s="5">
        <f t="shared" si="4"/>
        <v>42.650000000000006</v>
      </c>
      <c r="AB53" s="3"/>
      <c r="AC53" s="80" t="s">
        <v>416</v>
      </c>
      <c r="AD53" s="6">
        <v>2510</v>
      </c>
      <c r="AE53" s="30">
        <v>10.9</v>
      </c>
      <c r="AF53" s="30">
        <v>11.200000000000001</v>
      </c>
      <c r="AG53" s="5">
        <f t="shared" si="9"/>
        <v>11.05</v>
      </c>
      <c r="AI53" s="15"/>
      <c r="AJ53" s="15"/>
      <c r="AK53" s="15"/>
    </row>
    <row r="54" spans="3:37" x14ac:dyDescent="0.2">
      <c r="C54" s="78" t="s">
        <v>241</v>
      </c>
      <c r="D54" s="5">
        <v>2395</v>
      </c>
      <c r="E54" s="29">
        <v>155.6</v>
      </c>
      <c r="F54" s="29">
        <v>164.70000000000002</v>
      </c>
      <c r="G54" s="5">
        <f t="shared" si="6"/>
        <v>160.15</v>
      </c>
      <c r="H54" s="5"/>
      <c r="I54" s="5">
        <f t="shared" si="1"/>
        <v>52.6</v>
      </c>
      <c r="J54" s="3"/>
      <c r="K54" s="80" t="s">
        <v>510</v>
      </c>
      <c r="L54" s="6">
        <v>2500</v>
      </c>
      <c r="M54" s="30">
        <v>7</v>
      </c>
      <c r="N54" s="30">
        <v>7.3</v>
      </c>
      <c r="O54" s="5">
        <f t="shared" si="7"/>
        <v>7.15</v>
      </c>
      <c r="P54" s="3"/>
      <c r="Q54" s="15"/>
      <c r="R54" s="15"/>
      <c r="S54" s="15"/>
      <c r="U54" s="18" t="s">
        <v>332</v>
      </c>
      <c r="V54" s="5">
        <v>2430</v>
      </c>
      <c r="W54" s="29">
        <v>125.8</v>
      </c>
      <c r="X54" s="29">
        <v>127.10000000000001</v>
      </c>
      <c r="Y54" s="5">
        <f t="shared" si="8"/>
        <v>126.45</v>
      </c>
      <c r="Z54" s="5"/>
      <c r="AA54" s="5">
        <f t="shared" si="4"/>
        <v>47.6</v>
      </c>
      <c r="AB54" s="3"/>
      <c r="AC54" s="80" t="s">
        <v>417</v>
      </c>
      <c r="AD54" s="6">
        <v>2505</v>
      </c>
      <c r="AE54" s="30">
        <v>10.3</v>
      </c>
      <c r="AF54" s="30">
        <v>10.5</v>
      </c>
      <c r="AG54" s="5">
        <f t="shared" si="9"/>
        <v>10.4</v>
      </c>
      <c r="AI54" s="15"/>
      <c r="AJ54" s="15"/>
      <c r="AK54" s="15"/>
    </row>
    <row r="55" spans="3:37" x14ac:dyDescent="0.2">
      <c r="C55" s="78" t="s">
        <v>242</v>
      </c>
      <c r="D55" s="5">
        <v>2400</v>
      </c>
      <c r="E55" s="29">
        <v>150.70000000000002</v>
      </c>
      <c r="F55" s="29">
        <v>159.80000000000001</v>
      </c>
      <c r="G55" s="5">
        <f t="shared" si="6"/>
        <v>155.25</v>
      </c>
      <c r="H55" s="5"/>
      <c r="I55" s="5">
        <f t="shared" si="1"/>
        <v>57.599999999999994</v>
      </c>
      <c r="J55" s="3"/>
      <c r="K55" s="80" t="s">
        <v>511</v>
      </c>
      <c r="L55" s="6">
        <v>2495</v>
      </c>
      <c r="M55" s="30">
        <v>6.6000000000000005</v>
      </c>
      <c r="N55" s="30">
        <v>6.8</v>
      </c>
      <c r="O55" s="5">
        <f t="shared" si="7"/>
        <v>6.7</v>
      </c>
      <c r="P55" s="3"/>
      <c r="Q55" s="15"/>
      <c r="R55" s="15"/>
      <c r="S55" s="15"/>
      <c r="U55" s="18" t="s">
        <v>333</v>
      </c>
      <c r="V55" s="5">
        <v>2435</v>
      </c>
      <c r="W55" s="29">
        <v>121.10000000000001</v>
      </c>
      <c r="X55" s="29">
        <v>122.2</v>
      </c>
      <c r="Y55" s="5">
        <f t="shared" si="8"/>
        <v>121.65</v>
      </c>
      <c r="Z55" s="5"/>
      <c r="AA55" s="5">
        <f t="shared" si="4"/>
        <v>52.6</v>
      </c>
      <c r="AB55" s="3"/>
      <c r="AC55" s="80" t="s">
        <v>418</v>
      </c>
      <c r="AD55" s="6">
        <v>2500</v>
      </c>
      <c r="AE55" s="30">
        <v>9.6</v>
      </c>
      <c r="AF55" s="30">
        <v>9.9</v>
      </c>
      <c r="AG55" s="5">
        <f t="shared" si="9"/>
        <v>9.75</v>
      </c>
      <c r="AI55" s="15"/>
      <c r="AJ55" s="15"/>
      <c r="AK55" s="15"/>
    </row>
    <row r="56" spans="3:37" x14ac:dyDescent="0.2">
      <c r="C56" s="78" t="s">
        <v>243</v>
      </c>
      <c r="D56" s="5">
        <v>2405</v>
      </c>
      <c r="E56" s="29">
        <v>145.9</v>
      </c>
      <c r="F56" s="29">
        <v>155</v>
      </c>
      <c r="G56" s="5">
        <f t="shared" si="6"/>
        <v>150.44999999999999</v>
      </c>
      <c r="H56" s="5"/>
      <c r="I56" s="5">
        <f t="shared" si="1"/>
        <v>62.550000000000011</v>
      </c>
      <c r="J56" s="3"/>
      <c r="K56" s="80" t="s">
        <v>512</v>
      </c>
      <c r="L56" s="6">
        <v>2490</v>
      </c>
      <c r="M56" s="30">
        <v>6.2</v>
      </c>
      <c r="N56" s="30">
        <v>6.4</v>
      </c>
      <c r="O56" s="5">
        <f t="shared" si="7"/>
        <v>6.3000000000000007</v>
      </c>
      <c r="P56" s="3"/>
      <c r="Q56" s="15"/>
      <c r="R56" s="15"/>
      <c r="S56" s="15"/>
      <c r="U56" s="18" t="s">
        <v>334</v>
      </c>
      <c r="V56" s="5">
        <v>2440</v>
      </c>
      <c r="W56" s="29">
        <v>116.3</v>
      </c>
      <c r="X56" s="29">
        <v>117.4</v>
      </c>
      <c r="Y56" s="5">
        <f t="shared" si="8"/>
        <v>116.85</v>
      </c>
      <c r="Z56" s="5"/>
      <c r="AA56" s="5">
        <f t="shared" si="4"/>
        <v>57.599999999999994</v>
      </c>
      <c r="AB56" s="3"/>
      <c r="AC56" s="80" t="s">
        <v>419</v>
      </c>
      <c r="AD56" s="6">
        <v>2495</v>
      </c>
      <c r="AE56" s="30">
        <v>9.1</v>
      </c>
      <c r="AF56" s="30">
        <v>9.3000000000000007</v>
      </c>
      <c r="AG56" s="5">
        <f t="shared" si="9"/>
        <v>9.1999999999999993</v>
      </c>
      <c r="AI56" s="15"/>
      <c r="AJ56" s="15"/>
      <c r="AK56" s="15"/>
    </row>
    <row r="57" spans="3:37" x14ac:dyDescent="0.2">
      <c r="C57" s="78" t="s">
        <v>244</v>
      </c>
      <c r="D57" s="5">
        <v>2410</v>
      </c>
      <c r="E57" s="29">
        <v>141</v>
      </c>
      <c r="F57" s="29">
        <v>150.1</v>
      </c>
      <c r="G57" s="5">
        <f t="shared" si="6"/>
        <v>145.55000000000001</v>
      </c>
      <c r="H57" s="5"/>
      <c r="I57" s="5">
        <f t="shared" si="1"/>
        <v>67.55</v>
      </c>
      <c r="J57" s="3"/>
      <c r="K57" s="80" t="s">
        <v>513</v>
      </c>
      <c r="L57" s="6">
        <v>2485</v>
      </c>
      <c r="M57" s="30">
        <v>5.8</v>
      </c>
      <c r="N57" s="30">
        <v>6</v>
      </c>
      <c r="O57" s="5">
        <f t="shared" si="7"/>
        <v>5.9</v>
      </c>
      <c r="P57" s="3"/>
      <c r="Q57" s="15"/>
      <c r="R57" s="15"/>
      <c r="S57" s="15"/>
      <c r="U57" s="18" t="s">
        <v>335</v>
      </c>
      <c r="V57" s="5">
        <v>2445</v>
      </c>
      <c r="W57" s="29">
        <v>111.60000000000001</v>
      </c>
      <c r="X57" s="29">
        <v>112.8</v>
      </c>
      <c r="Y57" s="5">
        <f t="shared" si="8"/>
        <v>112.2</v>
      </c>
      <c r="Z57" s="5"/>
      <c r="AA57" s="5">
        <f t="shared" si="4"/>
        <v>62.550000000000011</v>
      </c>
      <c r="AB57" s="3"/>
      <c r="AC57" s="80" t="s">
        <v>420</v>
      </c>
      <c r="AD57" s="6">
        <v>2490</v>
      </c>
      <c r="AE57" s="30">
        <v>8.6</v>
      </c>
      <c r="AF57" s="30">
        <v>8.8000000000000007</v>
      </c>
      <c r="AG57" s="5">
        <f t="shared" si="9"/>
        <v>8.6999999999999993</v>
      </c>
      <c r="AI57" s="15"/>
      <c r="AJ57" s="15"/>
      <c r="AK57" s="15"/>
    </row>
    <row r="58" spans="3:37" x14ac:dyDescent="0.2">
      <c r="C58" s="78" t="s">
        <v>245</v>
      </c>
      <c r="D58" s="5">
        <v>2415</v>
      </c>
      <c r="E58" s="29">
        <v>136.1</v>
      </c>
      <c r="F58" s="29">
        <v>145.20000000000002</v>
      </c>
      <c r="G58" s="5">
        <f t="shared" si="6"/>
        <v>140.65</v>
      </c>
      <c r="H58" s="5"/>
      <c r="I58" s="5">
        <f t="shared" si="1"/>
        <v>72.599999999999994</v>
      </c>
      <c r="J58" s="3"/>
      <c r="K58" s="80" t="s">
        <v>514</v>
      </c>
      <c r="L58" s="6">
        <v>2480</v>
      </c>
      <c r="M58" s="30">
        <v>5.4</v>
      </c>
      <c r="N58" s="30">
        <v>5.6000000000000005</v>
      </c>
      <c r="O58" s="5">
        <f t="shared" si="7"/>
        <v>5.5</v>
      </c>
      <c r="P58" s="3"/>
      <c r="Q58" s="15"/>
      <c r="R58" s="15"/>
      <c r="S58" s="15"/>
      <c r="U58" s="18" t="s">
        <v>336</v>
      </c>
      <c r="V58" s="5">
        <v>2450</v>
      </c>
      <c r="W58" s="29">
        <v>106.8</v>
      </c>
      <c r="X58" s="29">
        <v>107.9</v>
      </c>
      <c r="Y58" s="5">
        <f t="shared" si="8"/>
        <v>107.35</v>
      </c>
      <c r="Z58" s="5"/>
      <c r="AA58" s="5">
        <f t="shared" si="4"/>
        <v>67.55</v>
      </c>
      <c r="AB58" s="3"/>
      <c r="AC58" s="80" t="s">
        <v>421</v>
      </c>
      <c r="AD58" s="6">
        <v>2485</v>
      </c>
      <c r="AE58" s="30">
        <v>8.1</v>
      </c>
      <c r="AF58" s="30">
        <v>8.3000000000000007</v>
      </c>
      <c r="AG58" s="5">
        <f t="shared" si="9"/>
        <v>8.1999999999999993</v>
      </c>
      <c r="AI58" s="15"/>
      <c r="AJ58" s="15"/>
      <c r="AK58" s="15"/>
    </row>
    <row r="59" spans="3:37" x14ac:dyDescent="0.2">
      <c r="C59" s="78" t="s">
        <v>246</v>
      </c>
      <c r="D59" s="5">
        <v>2420</v>
      </c>
      <c r="E59" s="29">
        <v>131.4</v>
      </c>
      <c r="F59" s="29">
        <v>140.5</v>
      </c>
      <c r="G59" s="5">
        <f t="shared" si="6"/>
        <v>135.94999999999999</v>
      </c>
      <c r="H59" s="5"/>
      <c r="I59" s="5">
        <f t="shared" si="1"/>
        <v>77.600000000000009</v>
      </c>
      <c r="J59" s="3"/>
      <c r="K59" s="80" t="s">
        <v>515</v>
      </c>
      <c r="L59" s="6">
        <v>2475</v>
      </c>
      <c r="M59" s="30">
        <v>5.1000000000000005</v>
      </c>
      <c r="N59" s="30">
        <v>5.3</v>
      </c>
      <c r="O59" s="5">
        <f t="shared" si="7"/>
        <v>5.2</v>
      </c>
      <c r="P59" s="2"/>
      <c r="Q59" s="16"/>
      <c r="R59" s="16"/>
      <c r="S59" s="16"/>
      <c r="U59" s="18" t="s">
        <v>337</v>
      </c>
      <c r="V59" s="5">
        <v>2455</v>
      </c>
      <c r="W59" s="29">
        <v>102.10000000000001</v>
      </c>
      <c r="X59" s="29">
        <v>103.4</v>
      </c>
      <c r="Y59" s="5">
        <f t="shared" si="8"/>
        <v>102.75</v>
      </c>
      <c r="Z59" s="5"/>
      <c r="AA59" s="5">
        <f t="shared" si="4"/>
        <v>72.599999999999994</v>
      </c>
      <c r="AB59" s="3"/>
      <c r="AC59" s="80" t="s">
        <v>422</v>
      </c>
      <c r="AD59" s="6">
        <v>2480</v>
      </c>
      <c r="AE59" s="30">
        <v>7.7</v>
      </c>
      <c r="AF59" s="30">
        <v>7.9</v>
      </c>
      <c r="AG59" s="5">
        <f t="shared" si="9"/>
        <v>7.8000000000000007</v>
      </c>
      <c r="AI59" s="16"/>
      <c r="AJ59" s="16"/>
      <c r="AK59" s="16"/>
    </row>
    <row r="60" spans="3:37" x14ac:dyDescent="0.2">
      <c r="C60" s="78" t="s">
        <v>247</v>
      </c>
      <c r="D60" s="5">
        <v>2425</v>
      </c>
      <c r="E60" s="29">
        <v>130</v>
      </c>
      <c r="F60" s="29">
        <v>131.4</v>
      </c>
      <c r="G60" s="5">
        <f t="shared" si="6"/>
        <v>130.69999999999999</v>
      </c>
      <c r="H60" s="5"/>
      <c r="I60" s="5">
        <f t="shared" si="1"/>
        <v>82.6</v>
      </c>
      <c r="J60" s="3"/>
      <c r="K60" s="80" t="s">
        <v>516</v>
      </c>
      <c r="L60" s="6">
        <v>2470</v>
      </c>
      <c r="M60" s="30">
        <v>4.8</v>
      </c>
      <c r="N60" s="30">
        <v>5</v>
      </c>
      <c r="O60" s="5">
        <f t="shared" si="7"/>
        <v>4.9000000000000004</v>
      </c>
      <c r="P60" s="3"/>
      <c r="Q60" s="15"/>
      <c r="R60" s="15"/>
      <c r="S60" s="15"/>
      <c r="U60" s="18" t="s">
        <v>338</v>
      </c>
      <c r="V60" s="5">
        <v>2460</v>
      </c>
      <c r="W60" s="29">
        <v>97.5</v>
      </c>
      <c r="X60" s="29">
        <v>98.7</v>
      </c>
      <c r="Y60" s="5">
        <f t="shared" si="8"/>
        <v>98.1</v>
      </c>
      <c r="Z60" s="5"/>
      <c r="AA60" s="5">
        <f t="shared" si="4"/>
        <v>77.600000000000009</v>
      </c>
      <c r="AB60" s="3"/>
      <c r="AC60" s="80" t="s">
        <v>423</v>
      </c>
      <c r="AD60" s="6">
        <v>2475</v>
      </c>
      <c r="AE60" s="30">
        <v>7.3</v>
      </c>
      <c r="AF60" s="30">
        <v>7.5</v>
      </c>
      <c r="AG60" s="5">
        <f t="shared" si="9"/>
        <v>7.4</v>
      </c>
      <c r="AI60" s="15"/>
      <c r="AJ60" s="15"/>
      <c r="AK60" s="15"/>
    </row>
    <row r="61" spans="3:37" x14ac:dyDescent="0.2">
      <c r="C61" s="78" t="s">
        <v>248</v>
      </c>
      <c r="D61" s="5">
        <v>2430</v>
      </c>
      <c r="E61" s="29">
        <v>125.2</v>
      </c>
      <c r="F61" s="29">
        <v>126.5</v>
      </c>
      <c r="G61" s="5">
        <f t="shared" si="6"/>
        <v>125.85</v>
      </c>
      <c r="H61" s="5"/>
      <c r="I61" s="5">
        <f t="shared" si="1"/>
        <v>87.6</v>
      </c>
      <c r="J61" s="3"/>
      <c r="K61" s="80" t="s">
        <v>517</v>
      </c>
      <c r="L61" s="6">
        <v>2465</v>
      </c>
      <c r="M61" s="30">
        <v>4.5</v>
      </c>
      <c r="N61" s="30">
        <v>4.8</v>
      </c>
      <c r="O61" s="5">
        <f t="shared" si="7"/>
        <v>4.6500000000000004</v>
      </c>
      <c r="P61" s="3"/>
      <c r="Q61" s="15"/>
      <c r="R61" s="15"/>
      <c r="S61" s="15"/>
      <c r="U61" s="18" t="s">
        <v>339</v>
      </c>
      <c r="V61" s="5">
        <v>2465</v>
      </c>
      <c r="W61" s="29">
        <v>92.8</v>
      </c>
      <c r="X61" s="29">
        <v>94</v>
      </c>
      <c r="Y61" s="5">
        <f t="shared" si="8"/>
        <v>93.4</v>
      </c>
      <c r="Z61" s="5"/>
      <c r="AA61" s="5">
        <f t="shared" si="4"/>
        <v>82.6</v>
      </c>
      <c r="AB61" s="3"/>
      <c r="AC61" s="80" t="s">
        <v>424</v>
      </c>
      <c r="AD61" s="6">
        <v>2470</v>
      </c>
      <c r="AE61" s="30">
        <v>6.9</v>
      </c>
      <c r="AF61" s="30">
        <v>7.1000000000000005</v>
      </c>
      <c r="AG61" s="5">
        <f t="shared" si="9"/>
        <v>7</v>
      </c>
      <c r="AI61" s="15"/>
      <c r="AJ61" s="15"/>
      <c r="AK61" s="15"/>
    </row>
    <row r="62" spans="3:37" x14ac:dyDescent="0.2">
      <c r="C62" s="78" t="s">
        <v>249</v>
      </c>
      <c r="D62" s="5">
        <v>2435</v>
      </c>
      <c r="E62" s="29">
        <v>120.3</v>
      </c>
      <c r="F62" s="29">
        <v>121.7</v>
      </c>
      <c r="G62" s="5">
        <f t="shared" si="6"/>
        <v>121</v>
      </c>
      <c r="H62" s="5"/>
      <c r="I62" s="5">
        <f t="shared" si="1"/>
        <v>92.6</v>
      </c>
      <c r="J62" s="3"/>
      <c r="K62" s="80" t="s">
        <v>518</v>
      </c>
      <c r="L62" s="6">
        <v>2460</v>
      </c>
      <c r="M62" s="30">
        <v>4.3</v>
      </c>
      <c r="N62" s="30">
        <v>4.5</v>
      </c>
      <c r="O62" s="5">
        <f t="shared" si="7"/>
        <v>4.4000000000000004</v>
      </c>
      <c r="P62" s="3"/>
      <c r="Q62" s="15"/>
      <c r="R62" s="15"/>
      <c r="S62" s="15"/>
      <c r="U62" s="18" t="s">
        <v>340</v>
      </c>
      <c r="V62" s="5">
        <v>2470</v>
      </c>
      <c r="W62" s="29">
        <v>88.4</v>
      </c>
      <c r="X62" s="29">
        <v>88.9</v>
      </c>
      <c r="Y62" s="5">
        <f t="shared" si="8"/>
        <v>88.65</v>
      </c>
      <c r="Z62" s="5"/>
      <c r="AA62" s="5">
        <f t="shared" si="4"/>
        <v>87.6</v>
      </c>
      <c r="AB62" s="3"/>
      <c r="AC62" s="80" t="s">
        <v>425</v>
      </c>
      <c r="AD62" s="6">
        <v>2465</v>
      </c>
      <c r="AE62" s="30">
        <v>6.5</v>
      </c>
      <c r="AF62" s="30">
        <v>6.7</v>
      </c>
      <c r="AG62" s="5">
        <f t="shared" si="9"/>
        <v>6.6</v>
      </c>
      <c r="AI62" s="15"/>
      <c r="AJ62" s="15"/>
      <c r="AK62" s="15"/>
    </row>
    <row r="63" spans="3:37" x14ac:dyDescent="0.2">
      <c r="C63" s="78" t="s">
        <v>250</v>
      </c>
      <c r="D63" s="5">
        <v>2440</v>
      </c>
      <c r="E63" s="29">
        <v>115.5</v>
      </c>
      <c r="F63" s="29">
        <v>116.8</v>
      </c>
      <c r="G63" s="5">
        <f t="shared" si="6"/>
        <v>116.15</v>
      </c>
      <c r="H63" s="5"/>
      <c r="I63" s="5">
        <f t="shared" si="1"/>
        <v>97.55</v>
      </c>
      <c r="J63" s="3"/>
      <c r="K63" s="80" t="s">
        <v>519</v>
      </c>
      <c r="L63" s="6">
        <v>2455</v>
      </c>
      <c r="M63" s="30">
        <v>4.0999999999999996</v>
      </c>
      <c r="N63" s="30">
        <v>4.3</v>
      </c>
      <c r="O63" s="5">
        <f t="shared" si="7"/>
        <v>4.1999999999999993</v>
      </c>
      <c r="P63" s="3"/>
      <c r="Q63" s="15"/>
      <c r="R63" s="15"/>
      <c r="S63" s="15"/>
      <c r="U63" s="18" t="s">
        <v>341</v>
      </c>
      <c r="V63" s="5">
        <v>2475</v>
      </c>
      <c r="W63" s="29">
        <v>83.8</v>
      </c>
      <c r="X63" s="29">
        <v>84.3</v>
      </c>
      <c r="Y63" s="5">
        <f t="shared" si="8"/>
        <v>84.05</v>
      </c>
      <c r="Z63" s="5"/>
      <c r="AA63" s="5">
        <f t="shared" si="4"/>
        <v>92.6</v>
      </c>
      <c r="AB63" s="3"/>
      <c r="AC63" s="80" t="s">
        <v>426</v>
      </c>
      <c r="AD63" s="6">
        <v>2460</v>
      </c>
      <c r="AE63" s="30">
        <v>6.2</v>
      </c>
      <c r="AF63" s="30">
        <v>6.4</v>
      </c>
      <c r="AG63" s="5">
        <f t="shared" si="9"/>
        <v>6.3000000000000007</v>
      </c>
      <c r="AI63" s="15"/>
      <c r="AJ63" s="15"/>
      <c r="AK63" s="15"/>
    </row>
    <row r="64" spans="3:37" x14ac:dyDescent="0.2">
      <c r="C64" s="78" t="s">
        <v>251</v>
      </c>
      <c r="D64" s="5">
        <v>2445</v>
      </c>
      <c r="E64" s="29">
        <v>110.7</v>
      </c>
      <c r="F64" s="29">
        <v>112</v>
      </c>
      <c r="G64" s="5">
        <f t="shared" si="6"/>
        <v>111.35</v>
      </c>
      <c r="H64" s="5"/>
      <c r="I64" s="5">
        <f t="shared" si="1"/>
        <v>102.55000000000001</v>
      </c>
      <c r="J64" s="3"/>
      <c r="K64" s="80" t="s">
        <v>520</v>
      </c>
      <c r="L64" s="6">
        <v>2450</v>
      </c>
      <c r="M64" s="30">
        <v>3.9</v>
      </c>
      <c r="N64" s="30">
        <v>4.0999999999999996</v>
      </c>
      <c r="O64" s="5">
        <f t="shared" si="7"/>
        <v>4</v>
      </c>
      <c r="P64" s="3"/>
      <c r="Q64" s="15"/>
      <c r="R64" s="15"/>
      <c r="S64" s="15"/>
      <c r="U64" s="18" t="s">
        <v>342</v>
      </c>
      <c r="V64" s="5">
        <v>2480</v>
      </c>
      <c r="W64" s="29">
        <v>79.2</v>
      </c>
      <c r="X64" s="29">
        <v>79.7</v>
      </c>
      <c r="Y64" s="5">
        <f t="shared" si="8"/>
        <v>79.45</v>
      </c>
      <c r="Z64" s="5"/>
      <c r="AA64" s="5">
        <f t="shared" si="4"/>
        <v>97.55</v>
      </c>
      <c r="AB64" s="3"/>
      <c r="AC64" s="80" t="s">
        <v>427</v>
      </c>
      <c r="AD64" s="6">
        <v>2455</v>
      </c>
      <c r="AE64" s="30">
        <v>5.9</v>
      </c>
      <c r="AF64" s="30">
        <v>6.1000000000000005</v>
      </c>
      <c r="AG64" s="5">
        <f t="shared" si="9"/>
        <v>6</v>
      </c>
      <c r="AI64" s="15"/>
      <c r="AJ64" s="15"/>
      <c r="AK64" s="15"/>
    </row>
    <row r="65" spans="3:37" x14ac:dyDescent="0.2">
      <c r="C65" s="78" t="s">
        <v>252</v>
      </c>
      <c r="D65" s="5">
        <v>2450</v>
      </c>
      <c r="E65" s="29">
        <v>105.9</v>
      </c>
      <c r="F65" s="29">
        <v>107.2</v>
      </c>
      <c r="G65" s="5">
        <f t="shared" si="6"/>
        <v>106.55000000000001</v>
      </c>
      <c r="H65" s="5"/>
      <c r="I65" s="5">
        <f t="shared" si="1"/>
        <v>107.55</v>
      </c>
      <c r="J65" s="3"/>
      <c r="K65" s="80" t="s">
        <v>521</v>
      </c>
      <c r="L65" s="6">
        <v>2445</v>
      </c>
      <c r="M65" s="30">
        <v>3.7</v>
      </c>
      <c r="N65" s="30">
        <v>3.9</v>
      </c>
      <c r="O65" s="5">
        <f t="shared" si="7"/>
        <v>3.8</v>
      </c>
      <c r="P65" s="3"/>
      <c r="Q65" s="15"/>
      <c r="R65" s="15"/>
      <c r="S65" s="15"/>
      <c r="U65" s="18" t="s">
        <v>343</v>
      </c>
      <c r="V65" s="5">
        <v>2485</v>
      </c>
      <c r="W65" s="29">
        <v>74.600000000000009</v>
      </c>
      <c r="X65" s="29">
        <v>75.100000000000009</v>
      </c>
      <c r="Y65" s="5">
        <f t="shared" si="8"/>
        <v>74.850000000000009</v>
      </c>
      <c r="Z65" s="5"/>
      <c r="AA65" s="5">
        <f t="shared" si="4"/>
        <v>102.55000000000001</v>
      </c>
      <c r="AB65" s="3"/>
      <c r="AC65" s="80" t="s">
        <v>428</v>
      </c>
      <c r="AD65" s="6">
        <v>2450</v>
      </c>
      <c r="AE65" s="30">
        <v>5.6000000000000005</v>
      </c>
      <c r="AF65" s="30">
        <v>5.8</v>
      </c>
      <c r="AG65" s="5">
        <f t="shared" si="9"/>
        <v>5.7</v>
      </c>
      <c r="AI65" s="15"/>
      <c r="AJ65" s="15"/>
      <c r="AK65" s="15"/>
    </row>
    <row r="66" spans="3:37" x14ac:dyDescent="0.2">
      <c r="C66" s="78" t="s">
        <v>253</v>
      </c>
      <c r="D66" s="5">
        <v>2455</v>
      </c>
      <c r="E66" s="29">
        <v>101.10000000000001</v>
      </c>
      <c r="F66" s="29">
        <v>102.4</v>
      </c>
      <c r="G66" s="5">
        <f t="shared" si="6"/>
        <v>101.75</v>
      </c>
      <c r="H66" s="5"/>
      <c r="I66" s="5">
        <f t="shared" si="1"/>
        <v>112.55000000000001</v>
      </c>
      <c r="J66" s="3"/>
      <c r="K66" s="80" t="s">
        <v>522</v>
      </c>
      <c r="L66" s="6">
        <v>2440</v>
      </c>
      <c r="M66" s="30">
        <v>3.5</v>
      </c>
      <c r="N66" s="30">
        <v>3.7</v>
      </c>
      <c r="O66" s="5">
        <f t="shared" si="7"/>
        <v>3.6</v>
      </c>
      <c r="P66" s="3"/>
      <c r="Q66" s="15"/>
      <c r="R66" s="15"/>
      <c r="S66" s="15"/>
      <c r="U66" s="18" t="s">
        <v>344</v>
      </c>
      <c r="V66" s="5">
        <v>2490</v>
      </c>
      <c r="W66" s="29">
        <v>70.100000000000009</v>
      </c>
      <c r="X66" s="29">
        <v>70.600000000000009</v>
      </c>
      <c r="Y66" s="5">
        <f t="shared" si="8"/>
        <v>70.350000000000009</v>
      </c>
      <c r="Z66" s="5"/>
      <c r="AA66" s="5">
        <f t="shared" si="4"/>
        <v>107.55</v>
      </c>
      <c r="AB66" s="3"/>
      <c r="AC66" s="80" t="s">
        <v>429</v>
      </c>
      <c r="AD66" s="6">
        <v>2445</v>
      </c>
      <c r="AE66" s="30">
        <v>5.4</v>
      </c>
      <c r="AF66" s="30">
        <v>5.6000000000000005</v>
      </c>
      <c r="AG66" s="5">
        <f t="shared" si="9"/>
        <v>5.5</v>
      </c>
      <c r="AI66" s="15"/>
      <c r="AJ66" s="15"/>
      <c r="AK66" s="15"/>
    </row>
    <row r="67" spans="3:37" x14ac:dyDescent="0.2">
      <c r="C67" s="78" t="s">
        <v>254</v>
      </c>
      <c r="D67" s="5">
        <v>2460</v>
      </c>
      <c r="E67" s="29">
        <v>96.4</v>
      </c>
      <c r="F67" s="29">
        <v>97.600000000000009</v>
      </c>
      <c r="G67" s="5">
        <f t="shared" si="6"/>
        <v>97</v>
      </c>
      <c r="H67" s="5"/>
      <c r="I67" s="5">
        <f t="shared" si="1"/>
        <v>117.5</v>
      </c>
      <c r="J67" s="3"/>
      <c r="K67" s="80" t="s">
        <v>523</v>
      </c>
      <c r="L67" s="6">
        <v>2435</v>
      </c>
      <c r="M67" s="30">
        <v>3.4</v>
      </c>
      <c r="N67" s="30">
        <v>3.6</v>
      </c>
      <c r="O67" s="5">
        <f t="shared" si="7"/>
        <v>3.5</v>
      </c>
      <c r="P67" s="3"/>
      <c r="Q67" s="15"/>
      <c r="R67" s="15"/>
      <c r="S67" s="15"/>
      <c r="U67" s="18" t="s">
        <v>345</v>
      </c>
      <c r="V67" s="5">
        <v>2495</v>
      </c>
      <c r="W67" s="29">
        <v>65.7</v>
      </c>
      <c r="X67" s="29">
        <v>66.2</v>
      </c>
      <c r="Y67" s="5">
        <f t="shared" si="8"/>
        <v>65.95</v>
      </c>
      <c r="Z67" s="5"/>
      <c r="AA67" s="5">
        <f t="shared" si="4"/>
        <v>112.55000000000001</v>
      </c>
      <c r="AB67" s="3"/>
      <c r="AC67" s="80" t="s">
        <v>430</v>
      </c>
      <c r="AD67" s="6">
        <v>2440</v>
      </c>
      <c r="AE67" s="30">
        <v>5.1000000000000005</v>
      </c>
      <c r="AF67" s="30">
        <v>5.3</v>
      </c>
      <c r="AG67" s="5">
        <f t="shared" si="9"/>
        <v>5.2</v>
      </c>
      <c r="AI67" s="15"/>
      <c r="AJ67" s="15"/>
      <c r="AK67" s="15"/>
    </row>
    <row r="68" spans="3:37" x14ac:dyDescent="0.2">
      <c r="C68" s="78" t="s">
        <v>255</v>
      </c>
      <c r="D68" s="5">
        <v>2465</v>
      </c>
      <c r="E68" s="29">
        <v>91.600000000000009</v>
      </c>
      <c r="F68" s="29">
        <v>92.9</v>
      </c>
      <c r="G68" s="5">
        <f t="shared" si="6"/>
        <v>92.25</v>
      </c>
      <c r="H68" s="5"/>
      <c r="I68" s="5">
        <f t="shared" si="1"/>
        <v>122.55</v>
      </c>
      <c r="J68" s="3"/>
      <c r="K68" s="80" t="s">
        <v>524</v>
      </c>
      <c r="L68" s="6">
        <v>2430</v>
      </c>
      <c r="M68" s="30">
        <v>3.2</v>
      </c>
      <c r="N68" s="30">
        <v>3.4</v>
      </c>
      <c r="O68" s="5">
        <f t="shared" si="7"/>
        <v>3.3</v>
      </c>
      <c r="P68" s="3"/>
      <c r="Q68" s="15"/>
      <c r="R68" s="15"/>
      <c r="S68" s="15"/>
      <c r="U68" s="18" t="s">
        <v>346</v>
      </c>
      <c r="V68" s="5">
        <v>2500</v>
      </c>
      <c r="W68" s="29">
        <v>61.2</v>
      </c>
      <c r="X68" s="29">
        <v>61.7</v>
      </c>
      <c r="Y68" s="5">
        <f t="shared" si="8"/>
        <v>61.45</v>
      </c>
      <c r="Z68" s="5"/>
      <c r="AA68" s="5">
        <f t="shared" si="4"/>
        <v>117.5</v>
      </c>
      <c r="AB68" s="3"/>
      <c r="AC68" s="80" t="s">
        <v>431</v>
      </c>
      <c r="AD68" s="6">
        <v>2435</v>
      </c>
      <c r="AE68" s="30">
        <v>4.9000000000000004</v>
      </c>
      <c r="AF68" s="30">
        <v>5.1000000000000005</v>
      </c>
      <c r="AG68" s="5">
        <f t="shared" si="9"/>
        <v>5</v>
      </c>
      <c r="AI68" s="15"/>
      <c r="AJ68" s="15"/>
      <c r="AK68" s="15"/>
    </row>
    <row r="69" spans="3:37" x14ac:dyDescent="0.2">
      <c r="C69" s="78" t="s">
        <v>256</v>
      </c>
      <c r="D69" s="5">
        <v>2470</v>
      </c>
      <c r="E69" s="29">
        <v>86.9</v>
      </c>
      <c r="F69" s="29">
        <v>88.100000000000009</v>
      </c>
      <c r="G69" s="5">
        <f t="shared" si="6"/>
        <v>87.5</v>
      </c>
      <c r="H69" s="5"/>
      <c r="I69" s="5">
        <f t="shared" si="1"/>
        <v>127.49999999999999</v>
      </c>
      <c r="J69" s="3"/>
      <c r="K69" s="80" t="s">
        <v>525</v>
      </c>
      <c r="L69" s="6">
        <v>2425</v>
      </c>
      <c r="M69" s="30">
        <v>3.1</v>
      </c>
      <c r="N69" s="30">
        <v>3.3000000000000003</v>
      </c>
      <c r="O69" s="5">
        <f t="shared" si="7"/>
        <v>3.2</v>
      </c>
      <c r="P69" s="3"/>
      <c r="Q69" s="15"/>
      <c r="R69" s="15"/>
      <c r="S69" s="15"/>
      <c r="U69" s="18" t="s">
        <v>347</v>
      </c>
      <c r="V69" s="5">
        <v>2505</v>
      </c>
      <c r="W69" s="29">
        <v>56.9</v>
      </c>
      <c r="X69" s="29">
        <v>57.4</v>
      </c>
      <c r="Y69" s="5">
        <f t="shared" si="8"/>
        <v>57.15</v>
      </c>
      <c r="Z69" s="5"/>
      <c r="AA69" s="5">
        <f t="shared" si="4"/>
        <v>122.55</v>
      </c>
      <c r="AB69" s="3"/>
      <c r="AC69" s="80" t="s">
        <v>432</v>
      </c>
      <c r="AD69" s="6">
        <v>2430</v>
      </c>
      <c r="AE69" s="30">
        <v>4.7</v>
      </c>
      <c r="AF69" s="30">
        <v>4.9000000000000004</v>
      </c>
      <c r="AG69" s="5">
        <f t="shared" si="9"/>
        <v>4.8000000000000007</v>
      </c>
      <c r="AI69" s="15"/>
      <c r="AJ69" s="15"/>
      <c r="AK69" s="15"/>
    </row>
    <row r="70" spans="3:37" x14ac:dyDescent="0.2">
      <c r="C70" s="78" t="s">
        <v>257</v>
      </c>
      <c r="D70" s="5">
        <v>2475</v>
      </c>
      <c r="E70" s="29">
        <v>82.2</v>
      </c>
      <c r="F70" s="29">
        <v>83.4</v>
      </c>
      <c r="G70" s="5">
        <f t="shared" si="6"/>
        <v>82.800000000000011</v>
      </c>
      <c r="H70" s="5"/>
      <c r="I70" s="5">
        <f t="shared" si="1"/>
        <v>132.92499999999998</v>
      </c>
      <c r="J70" s="3"/>
      <c r="K70" s="80" t="s">
        <v>526</v>
      </c>
      <c r="L70" s="6">
        <v>2420</v>
      </c>
      <c r="M70" s="30">
        <v>2.95</v>
      </c>
      <c r="N70" s="30">
        <v>3.1</v>
      </c>
      <c r="O70" s="5">
        <f t="shared" si="7"/>
        <v>3.0250000000000004</v>
      </c>
      <c r="P70" s="3"/>
      <c r="Q70" s="15"/>
      <c r="R70" s="15"/>
      <c r="S70" s="15"/>
      <c r="U70" s="18" t="s">
        <v>348</v>
      </c>
      <c r="V70" s="5">
        <v>2510</v>
      </c>
      <c r="W70" s="29">
        <v>52.6</v>
      </c>
      <c r="X70" s="29">
        <v>53.1</v>
      </c>
      <c r="Y70" s="5">
        <f t="shared" si="8"/>
        <v>52.85</v>
      </c>
      <c r="Z70" s="5"/>
      <c r="AA70" s="5">
        <f t="shared" si="4"/>
        <v>127.49999999999999</v>
      </c>
      <c r="AB70" s="3"/>
      <c r="AC70" s="80" t="s">
        <v>433</v>
      </c>
      <c r="AD70" s="6">
        <v>2425</v>
      </c>
      <c r="AE70" s="30">
        <v>4.5</v>
      </c>
      <c r="AF70" s="30">
        <v>4.7</v>
      </c>
      <c r="AG70" s="5">
        <f t="shared" si="9"/>
        <v>4.5999999999999996</v>
      </c>
      <c r="AI70" s="15"/>
      <c r="AJ70" s="15"/>
      <c r="AK70" s="15"/>
    </row>
    <row r="71" spans="3:37" x14ac:dyDescent="0.2">
      <c r="C71" s="78" t="s">
        <v>258</v>
      </c>
      <c r="D71" s="5">
        <v>2480</v>
      </c>
      <c r="E71" s="29">
        <v>77.5</v>
      </c>
      <c r="F71" s="29">
        <v>78.7</v>
      </c>
      <c r="G71" s="5">
        <f t="shared" si="6"/>
        <v>78.099999999999994</v>
      </c>
      <c r="H71" s="5"/>
      <c r="I71" s="5">
        <f t="shared" si="1"/>
        <v>137.72499999999999</v>
      </c>
      <c r="J71" s="3"/>
      <c r="K71" s="80" t="s">
        <v>527</v>
      </c>
      <c r="L71" s="6">
        <v>2415</v>
      </c>
      <c r="M71" s="30">
        <v>2.85</v>
      </c>
      <c r="N71" s="30">
        <v>3</v>
      </c>
      <c r="O71" s="5">
        <f t="shared" si="7"/>
        <v>2.9249999999999998</v>
      </c>
      <c r="P71" s="3"/>
      <c r="Q71" s="15"/>
      <c r="R71" s="15"/>
      <c r="S71" s="15"/>
      <c r="U71" s="18" t="s">
        <v>349</v>
      </c>
      <c r="V71" s="5">
        <v>2515</v>
      </c>
      <c r="W71" s="29">
        <v>48.300000000000004</v>
      </c>
      <c r="X71" s="29">
        <v>48.800000000000004</v>
      </c>
      <c r="Y71" s="5">
        <f t="shared" si="8"/>
        <v>48.550000000000004</v>
      </c>
      <c r="Z71" s="5"/>
      <c r="AA71" s="5">
        <f t="shared" si="4"/>
        <v>132.92499999999998</v>
      </c>
      <c r="AB71" s="3"/>
      <c r="AC71" s="80" t="s">
        <v>434</v>
      </c>
      <c r="AD71" s="6">
        <v>2420</v>
      </c>
      <c r="AE71" s="30">
        <v>4.3</v>
      </c>
      <c r="AF71" s="30">
        <v>4.5</v>
      </c>
      <c r="AG71" s="5">
        <f t="shared" si="9"/>
        <v>4.4000000000000004</v>
      </c>
      <c r="AI71" s="15"/>
      <c r="AJ71" s="15"/>
      <c r="AK71" s="15"/>
    </row>
    <row r="72" spans="3:37" x14ac:dyDescent="0.2">
      <c r="C72" s="78" t="s">
        <v>259</v>
      </c>
      <c r="D72" s="5">
        <v>2485</v>
      </c>
      <c r="E72" s="29">
        <v>73.2</v>
      </c>
      <c r="F72" s="29">
        <v>73.7</v>
      </c>
      <c r="G72" s="5">
        <f t="shared" si="6"/>
        <v>73.45</v>
      </c>
      <c r="H72" s="5"/>
      <c r="I72" s="5">
        <f t="shared" si="1"/>
        <v>142.75</v>
      </c>
      <c r="J72" s="3"/>
      <c r="K72" s="80" t="s">
        <v>528</v>
      </c>
      <c r="L72" s="6">
        <v>2410</v>
      </c>
      <c r="M72" s="30">
        <v>2.7</v>
      </c>
      <c r="N72" s="30">
        <v>2.9</v>
      </c>
      <c r="O72" s="5">
        <f t="shared" si="7"/>
        <v>2.8</v>
      </c>
      <c r="P72" s="3"/>
      <c r="Q72" s="15"/>
      <c r="R72" s="15"/>
      <c r="S72" s="15"/>
      <c r="U72" s="18" t="s">
        <v>350</v>
      </c>
      <c r="V72" s="5">
        <v>2520</v>
      </c>
      <c r="W72" s="29">
        <v>44.2</v>
      </c>
      <c r="X72" s="29">
        <v>44.7</v>
      </c>
      <c r="Y72" s="5">
        <f t="shared" si="8"/>
        <v>44.45</v>
      </c>
      <c r="Z72" s="5"/>
      <c r="AA72" s="5">
        <f t="shared" si="4"/>
        <v>137.72499999999999</v>
      </c>
      <c r="AB72" s="3"/>
      <c r="AC72" s="80" t="s">
        <v>435</v>
      </c>
      <c r="AD72" s="6">
        <v>2415</v>
      </c>
      <c r="AE72" s="30">
        <v>4.0999999999999996</v>
      </c>
      <c r="AF72" s="30">
        <v>4.3</v>
      </c>
      <c r="AG72" s="5">
        <f t="shared" si="9"/>
        <v>4.1999999999999993</v>
      </c>
      <c r="AI72" s="15"/>
      <c r="AJ72" s="15"/>
      <c r="AK72" s="15"/>
    </row>
    <row r="73" spans="3:37" x14ac:dyDescent="0.2">
      <c r="C73" s="78" t="s">
        <v>260</v>
      </c>
      <c r="D73" s="5">
        <v>2490</v>
      </c>
      <c r="E73" s="29">
        <v>68.600000000000009</v>
      </c>
      <c r="F73" s="29">
        <v>69.100000000000009</v>
      </c>
      <c r="G73" s="5">
        <f t="shared" si="6"/>
        <v>68.850000000000009</v>
      </c>
      <c r="H73" s="5"/>
      <c r="I73" s="5">
        <f t="shared" si="1"/>
        <v>147.77499999999998</v>
      </c>
      <c r="J73" s="3"/>
      <c r="K73" s="80" t="s">
        <v>529</v>
      </c>
      <c r="L73" s="6">
        <v>2405</v>
      </c>
      <c r="M73" s="30">
        <v>2.6</v>
      </c>
      <c r="N73" s="30">
        <v>2.75</v>
      </c>
      <c r="O73" s="5">
        <f t="shared" si="7"/>
        <v>2.6749999999999998</v>
      </c>
      <c r="P73" s="3"/>
      <c r="Q73" s="15"/>
      <c r="R73" s="15"/>
      <c r="S73" s="15"/>
      <c r="U73" s="78" t="s">
        <v>351</v>
      </c>
      <c r="V73" s="5">
        <v>2525</v>
      </c>
      <c r="W73" s="29">
        <v>40.200000000000003</v>
      </c>
      <c r="X73" s="29">
        <v>40.6</v>
      </c>
      <c r="Y73" s="5">
        <f t="shared" si="8"/>
        <v>40.400000000000006</v>
      </c>
      <c r="Z73" s="5"/>
      <c r="AA73" s="5">
        <f t="shared" si="4"/>
        <v>142.75</v>
      </c>
      <c r="AB73" s="3"/>
      <c r="AC73" s="80" t="s">
        <v>436</v>
      </c>
      <c r="AD73" s="6">
        <v>2410</v>
      </c>
      <c r="AE73" s="30">
        <v>4</v>
      </c>
      <c r="AF73" s="30">
        <v>4.2</v>
      </c>
      <c r="AG73" s="5">
        <f t="shared" si="9"/>
        <v>4.0999999999999996</v>
      </c>
      <c r="AI73" s="15"/>
      <c r="AJ73" s="15"/>
      <c r="AK73" s="15"/>
    </row>
    <row r="74" spans="3:37" x14ac:dyDescent="0.2">
      <c r="C74" s="78" t="s">
        <v>261</v>
      </c>
      <c r="D74" s="5">
        <v>2495</v>
      </c>
      <c r="E74" s="29">
        <v>64.099999999999994</v>
      </c>
      <c r="F74" s="29">
        <v>64.5</v>
      </c>
      <c r="G74" s="5">
        <f t="shared" si="6"/>
        <v>64.3</v>
      </c>
      <c r="H74" s="5"/>
      <c r="I74" s="5">
        <f t="shared" si="1"/>
        <v>152.67500000000001</v>
      </c>
      <c r="J74" s="3"/>
      <c r="K74" s="80" t="s">
        <v>530</v>
      </c>
      <c r="L74" s="6">
        <v>2400</v>
      </c>
      <c r="M74" s="30">
        <v>2.5</v>
      </c>
      <c r="N74" s="30">
        <v>2.65</v>
      </c>
      <c r="O74" s="5">
        <f t="shared" si="7"/>
        <v>2.5750000000000002</v>
      </c>
      <c r="P74" s="3"/>
      <c r="Q74" s="15"/>
      <c r="R74" s="15"/>
      <c r="S74" s="15"/>
      <c r="U74" s="78" t="s">
        <v>352</v>
      </c>
      <c r="V74" s="5">
        <v>2530</v>
      </c>
      <c r="W74" s="29">
        <v>36.200000000000003</v>
      </c>
      <c r="X74" s="29">
        <v>36.6</v>
      </c>
      <c r="Y74" s="5">
        <f t="shared" si="8"/>
        <v>36.400000000000006</v>
      </c>
      <c r="Z74" s="5"/>
      <c r="AA74" s="5">
        <f t="shared" si="4"/>
        <v>147.77499999999998</v>
      </c>
      <c r="AB74" s="3"/>
      <c r="AC74" s="80" t="s">
        <v>437</v>
      </c>
      <c r="AD74" s="6">
        <v>2405</v>
      </c>
      <c r="AE74" s="30">
        <v>3.8000000000000003</v>
      </c>
      <c r="AF74" s="30">
        <v>4</v>
      </c>
      <c r="AG74" s="5">
        <f t="shared" si="9"/>
        <v>3.9000000000000004</v>
      </c>
      <c r="AI74" s="15"/>
      <c r="AJ74" s="15"/>
      <c r="AK74" s="15"/>
    </row>
    <row r="75" spans="3:37" x14ac:dyDescent="0.2">
      <c r="C75" s="78" t="s">
        <v>262</v>
      </c>
      <c r="D75" s="5">
        <v>2500</v>
      </c>
      <c r="E75" s="29">
        <v>59.5</v>
      </c>
      <c r="F75" s="29">
        <v>60</v>
      </c>
      <c r="G75" s="5">
        <f t="shared" si="6"/>
        <v>59.75</v>
      </c>
      <c r="H75" s="5"/>
      <c r="I75" s="5">
        <f t="shared" si="1"/>
        <v>157.67500000000001</v>
      </c>
      <c r="J75" s="3"/>
      <c r="K75" s="80" t="s">
        <v>531</v>
      </c>
      <c r="L75" s="6">
        <v>2395</v>
      </c>
      <c r="M75" s="30">
        <v>2.4</v>
      </c>
      <c r="N75" s="30">
        <v>2.5500000000000003</v>
      </c>
      <c r="O75" s="5">
        <f t="shared" si="7"/>
        <v>2.4750000000000001</v>
      </c>
      <c r="P75" s="3"/>
      <c r="Q75" s="15"/>
      <c r="R75" s="15"/>
      <c r="S75" s="15"/>
      <c r="U75" s="78" t="s">
        <v>353</v>
      </c>
      <c r="V75" s="5">
        <v>2535</v>
      </c>
      <c r="W75" s="29">
        <v>32.299999999999997</v>
      </c>
      <c r="X75" s="29">
        <v>32.799999999999997</v>
      </c>
      <c r="Y75" s="5">
        <f t="shared" si="8"/>
        <v>32.549999999999997</v>
      </c>
      <c r="Z75" s="5"/>
      <c r="AA75" s="5">
        <f t="shared" si="4"/>
        <v>152.67500000000001</v>
      </c>
      <c r="AB75" s="3"/>
      <c r="AC75" s="80" t="s">
        <v>438</v>
      </c>
      <c r="AD75" s="6">
        <v>2400</v>
      </c>
      <c r="AE75" s="30">
        <v>3.7</v>
      </c>
      <c r="AF75" s="30">
        <v>3.8000000000000003</v>
      </c>
      <c r="AG75" s="5">
        <f t="shared" si="9"/>
        <v>3.75</v>
      </c>
      <c r="AI75" s="15"/>
      <c r="AJ75" s="15"/>
      <c r="AK75" s="15"/>
    </row>
    <row r="76" spans="3:37" x14ac:dyDescent="0.2">
      <c r="C76" s="78" t="s">
        <v>263</v>
      </c>
      <c r="D76" s="5">
        <v>2505</v>
      </c>
      <c r="E76" s="29">
        <v>55</v>
      </c>
      <c r="F76" s="29">
        <v>55.5</v>
      </c>
      <c r="G76" s="5">
        <f t="shared" si="6"/>
        <v>55.25</v>
      </c>
      <c r="H76" s="5"/>
      <c r="I76" s="5">
        <f t="shared" si="1"/>
        <v>162.67500000000001</v>
      </c>
      <c r="J76" s="3"/>
      <c r="K76" s="80" t="s">
        <v>532</v>
      </c>
      <c r="L76" s="6">
        <v>2390</v>
      </c>
      <c r="M76" s="30">
        <v>2.3000000000000003</v>
      </c>
      <c r="N76" s="30">
        <v>2.4500000000000002</v>
      </c>
      <c r="O76" s="5">
        <f t="shared" si="7"/>
        <v>2.375</v>
      </c>
      <c r="P76" s="3"/>
      <c r="Q76" s="15"/>
      <c r="R76" s="15"/>
      <c r="S76" s="15"/>
      <c r="U76" s="78" t="s">
        <v>179</v>
      </c>
      <c r="V76" s="5">
        <v>2540</v>
      </c>
      <c r="W76" s="29">
        <v>28.6</v>
      </c>
      <c r="X76" s="29">
        <v>29.1</v>
      </c>
      <c r="Y76" s="5">
        <f t="shared" si="8"/>
        <v>28.85</v>
      </c>
      <c r="Z76" s="5"/>
      <c r="AA76" s="5">
        <f t="shared" si="4"/>
        <v>157.67500000000001</v>
      </c>
      <c r="AB76" s="3"/>
      <c r="AC76" s="80" t="s">
        <v>439</v>
      </c>
      <c r="AD76" s="6">
        <v>2395</v>
      </c>
      <c r="AE76" s="30">
        <v>3.5</v>
      </c>
      <c r="AF76" s="30">
        <v>3.7</v>
      </c>
      <c r="AG76" s="5">
        <f t="shared" si="9"/>
        <v>3.6</v>
      </c>
      <c r="AI76" s="15"/>
      <c r="AJ76" s="15"/>
      <c r="AK76" s="15"/>
    </row>
    <row r="77" spans="3:37" x14ac:dyDescent="0.2">
      <c r="C77" s="78" t="s">
        <v>264</v>
      </c>
      <c r="D77" s="5">
        <v>2510</v>
      </c>
      <c r="E77" s="29">
        <v>50.7</v>
      </c>
      <c r="F77" s="29">
        <v>51.1</v>
      </c>
      <c r="G77" s="5">
        <f t="shared" si="6"/>
        <v>50.900000000000006</v>
      </c>
      <c r="H77" s="5"/>
      <c r="I77" s="5">
        <f t="shared" si="1"/>
        <v>167.625</v>
      </c>
      <c r="J77" s="3"/>
      <c r="K77" s="80" t="s">
        <v>533</v>
      </c>
      <c r="L77" s="6">
        <v>2385</v>
      </c>
      <c r="M77" s="30">
        <v>2.25</v>
      </c>
      <c r="N77" s="30">
        <v>2.4</v>
      </c>
      <c r="O77" s="5">
        <f t="shared" si="7"/>
        <v>2.3250000000000002</v>
      </c>
      <c r="P77" s="3"/>
      <c r="Q77" s="15"/>
      <c r="R77" s="15"/>
      <c r="S77" s="15"/>
      <c r="U77" s="78" t="s">
        <v>180</v>
      </c>
      <c r="V77" s="5">
        <v>2545</v>
      </c>
      <c r="W77" s="29">
        <v>25.1</v>
      </c>
      <c r="X77" s="29">
        <v>25.6</v>
      </c>
      <c r="Y77" s="5">
        <f t="shared" si="8"/>
        <v>25.35</v>
      </c>
      <c r="Z77" s="5"/>
      <c r="AA77" s="5">
        <f t="shared" si="4"/>
        <v>162.67500000000001</v>
      </c>
      <c r="AB77" s="3"/>
      <c r="AC77" s="80" t="s">
        <v>440</v>
      </c>
      <c r="AD77" s="6">
        <v>2390</v>
      </c>
      <c r="AE77" s="30">
        <v>3.4</v>
      </c>
      <c r="AF77" s="30">
        <v>3.6</v>
      </c>
      <c r="AG77" s="5">
        <f t="shared" si="9"/>
        <v>3.5</v>
      </c>
      <c r="AI77" s="15"/>
      <c r="AJ77" s="15"/>
      <c r="AK77" s="15"/>
    </row>
    <row r="78" spans="3:37" x14ac:dyDescent="0.2">
      <c r="C78" s="77" t="s">
        <v>265</v>
      </c>
      <c r="D78" s="5">
        <v>2515</v>
      </c>
      <c r="E78" s="29">
        <v>46.300000000000004</v>
      </c>
      <c r="F78" s="29">
        <v>46.800000000000004</v>
      </c>
      <c r="G78" s="5">
        <f t="shared" si="6"/>
        <v>46.550000000000004</v>
      </c>
      <c r="H78" s="5"/>
      <c r="I78" s="5">
        <f t="shared" si="1"/>
        <v>172.62500000000003</v>
      </c>
      <c r="K78" s="77" t="s">
        <v>534</v>
      </c>
      <c r="L78" s="6">
        <v>2380</v>
      </c>
      <c r="M78" s="30">
        <v>2.15</v>
      </c>
      <c r="N78" s="30">
        <v>2.3000000000000003</v>
      </c>
      <c r="O78" s="5">
        <f t="shared" si="7"/>
        <v>2.2250000000000001</v>
      </c>
      <c r="Q78" s="17"/>
      <c r="R78" s="17"/>
      <c r="S78" s="17"/>
      <c r="U78" s="77" t="s">
        <v>181</v>
      </c>
      <c r="V78" s="5">
        <v>2550</v>
      </c>
      <c r="W78" s="29">
        <v>21.900000000000002</v>
      </c>
      <c r="X78" s="29">
        <v>22.3</v>
      </c>
      <c r="Y78" s="5">
        <f t="shared" si="8"/>
        <v>22.1</v>
      </c>
      <c r="Z78" s="5"/>
      <c r="AA78" s="5">
        <f t="shared" si="4"/>
        <v>172.62500000000003</v>
      </c>
      <c r="AC78" s="77" t="s">
        <v>441</v>
      </c>
      <c r="AD78" s="6">
        <v>2380</v>
      </c>
      <c r="AE78" s="30">
        <v>3.1</v>
      </c>
      <c r="AF78" s="30">
        <v>3.3000000000000003</v>
      </c>
      <c r="AG78" s="5">
        <f t="shared" si="9"/>
        <v>3.2</v>
      </c>
      <c r="AI78" s="17"/>
      <c r="AJ78" s="17"/>
      <c r="AK78" s="17"/>
    </row>
    <row r="79" spans="3:37" x14ac:dyDescent="0.2">
      <c r="C79" s="77" t="s">
        <v>266</v>
      </c>
      <c r="D79" s="5">
        <v>2520</v>
      </c>
      <c r="E79" s="29">
        <v>42</v>
      </c>
      <c r="F79" s="29">
        <v>42.5</v>
      </c>
      <c r="G79" s="5">
        <f t="shared" si="6"/>
        <v>42.25</v>
      </c>
      <c r="H79" s="5"/>
      <c r="I79" s="5">
        <f t="shared" si="1"/>
        <v>177.625</v>
      </c>
      <c r="K79" s="77" t="s">
        <v>535</v>
      </c>
      <c r="L79" s="6">
        <v>2375</v>
      </c>
      <c r="M79" s="30">
        <v>2.0499999999999998</v>
      </c>
      <c r="N79" s="30">
        <v>2.2000000000000002</v>
      </c>
      <c r="O79" s="5">
        <f t="shared" si="7"/>
        <v>2.125</v>
      </c>
      <c r="Q79" s="17"/>
      <c r="R79" s="17"/>
      <c r="S79" s="17"/>
      <c r="U79" s="77" t="s">
        <v>182</v>
      </c>
      <c r="V79" s="5">
        <v>2555</v>
      </c>
      <c r="W79" s="29">
        <v>18.8</v>
      </c>
      <c r="X79" s="29">
        <v>19.2</v>
      </c>
      <c r="Y79" s="5">
        <f t="shared" si="8"/>
        <v>19</v>
      </c>
      <c r="Z79" s="5"/>
      <c r="AA79" s="5">
        <f t="shared" si="4"/>
        <v>177.625</v>
      </c>
      <c r="AC79" s="77" t="s">
        <v>442</v>
      </c>
      <c r="AD79" s="6">
        <v>2375</v>
      </c>
      <c r="AE79" s="30">
        <v>3</v>
      </c>
      <c r="AF79" s="30">
        <v>3.2</v>
      </c>
      <c r="AG79" s="5">
        <f t="shared" si="9"/>
        <v>3.1</v>
      </c>
      <c r="AI79" s="17"/>
      <c r="AJ79" s="17"/>
      <c r="AK79" s="17"/>
    </row>
    <row r="80" spans="3:37" x14ac:dyDescent="0.2">
      <c r="C80" s="77" t="s">
        <v>267</v>
      </c>
      <c r="D80" s="5">
        <v>2525</v>
      </c>
      <c r="E80" s="29">
        <v>37.9</v>
      </c>
      <c r="F80" s="29">
        <v>38.300000000000004</v>
      </c>
      <c r="G80" s="5">
        <f t="shared" si="6"/>
        <v>38.1</v>
      </c>
      <c r="H80" s="5"/>
      <c r="I80" s="5">
        <f t="shared" si="1"/>
        <v>182.77500000000003</v>
      </c>
      <c r="K80" s="77" t="s">
        <v>536</v>
      </c>
      <c r="L80" s="5">
        <v>2370</v>
      </c>
      <c r="M80" s="30">
        <v>2</v>
      </c>
      <c r="N80" s="30">
        <v>2.15</v>
      </c>
      <c r="O80" s="5">
        <f t="shared" si="7"/>
        <v>2.0750000000000002</v>
      </c>
      <c r="Q80" s="17"/>
      <c r="R80" s="17"/>
      <c r="S80" s="17"/>
      <c r="U80" s="77" t="s">
        <v>183</v>
      </c>
      <c r="V80" s="5">
        <v>2560</v>
      </c>
      <c r="W80" s="29">
        <v>16</v>
      </c>
      <c r="X80" s="29">
        <v>16.3</v>
      </c>
      <c r="Y80" s="5">
        <f t="shared" si="8"/>
        <v>16.149999999999999</v>
      </c>
      <c r="Z80" s="5"/>
      <c r="AA80" s="5">
        <f t="shared" si="4"/>
        <v>182.77500000000003</v>
      </c>
      <c r="AC80" s="77" t="s">
        <v>443</v>
      </c>
      <c r="AD80" s="5">
        <v>2370</v>
      </c>
      <c r="AE80" s="30">
        <v>2.95</v>
      </c>
      <c r="AF80" s="30">
        <v>3.1</v>
      </c>
      <c r="AG80" s="5">
        <f t="shared" si="9"/>
        <v>3.0250000000000004</v>
      </c>
      <c r="AI80" s="17"/>
      <c r="AJ80" s="17"/>
      <c r="AK80" s="17"/>
    </row>
    <row r="81" spans="3:37" x14ac:dyDescent="0.2">
      <c r="C81" s="77" t="s">
        <v>268</v>
      </c>
      <c r="D81" s="5">
        <v>2530</v>
      </c>
      <c r="E81" s="29">
        <v>33.799999999999997</v>
      </c>
      <c r="F81" s="29">
        <v>34.300000000000004</v>
      </c>
      <c r="G81" s="5">
        <f t="shared" si="6"/>
        <v>34.049999999999997</v>
      </c>
      <c r="H81" s="5"/>
      <c r="I81" s="5">
        <f t="shared" si="1"/>
        <v>187.65</v>
      </c>
      <c r="K81" s="77" t="s">
        <v>537</v>
      </c>
      <c r="L81" s="5">
        <v>2365</v>
      </c>
      <c r="M81" s="30">
        <v>1.95</v>
      </c>
      <c r="N81" s="30">
        <v>2.0499999999999998</v>
      </c>
      <c r="O81" s="5">
        <f t="shared" si="7"/>
        <v>2</v>
      </c>
      <c r="Q81" s="17"/>
      <c r="R81" s="17"/>
      <c r="S81" s="17"/>
      <c r="U81" s="77" t="s">
        <v>354</v>
      </c>
      <c r="V81" s="5">
        <v>2565</v>
      </c>
      <c r="W81" s="29">
        <v>13.5</v>
      </c>
      <c r="X81" s="29">
        <v>13.8</v>
      </c>
      <c r="Y81" s="5">
        <f t="shared" si="8"/>
        <v>13.65</v>
      </c>
      <c r="Z81" s="5"/>
      <c r="AA81" s="5">
        <f t="shared" si="4"/>
        <v>192.625</v>
      </c>
      <c r="AC81" s="77" t="s">
        <v>444</v>
      </c>
      <c r="AD81" s="5">
        <v>2360</v>
      </c>
      <c r="AE81" s="30">
        <v>2.7</v>
      </c>
      <c r="AF81" s="30">
        <v>2.85</v>
      </c>
      <c r="AG81" s="5">
        <f t="shared" si="9"/>
        <v>2.7750000000000004</v>
      </c>
      <c r="AI81" s="17"/>
      <c r="AJ81" s="17"/>
      <c r="AK81" s="17"/>
    </row>
    <row r="82" spans="3:37" x14ac:dyDescent="0.2">
      <c r="C82" s="77" t="s">
        <v>269</v>
      </c>
      <c r="D82" s="5">
        <v>2535</v>
      </c>
      <c r="E82" s="29">
        <v>29.900000000000002</v>
      </c>
      <c r="F82" s="29">
        <v>30.3</v>
      </c>
      <c r="G82" s="5">
        <f t="shared" si="6"/>
        <v>30.1</v>
      </c>
      <c r="H82" s="5"/>
      <c r="I82" s="5">
        <f t="shared" ref="I82:I145" si="11">IF(L82="","",IFERROR(ABS(VLOOKUP(L82,$L$17:$O$271,4,FALSE)-VLOOKUP(L82,$D$17:$G$271,4,FALSE)),""))</f>
        <v>192.625</v>
      </c>
      <c r="K82" s="77" t="s">
        <v>538</v>
      </c>
      <c r="L82" s="5">
        <v>2360</v>
      </c>
      <c r="M82" s="30">
        <v>1.85</v>
      </c>
      <c r="N82" s="30">
        <v>2</v>
      </c>
      <c r="O82" s="5">
        <f t="shared" si="7"/>
        <v>1.925</v>
      </c>
      <c r="Q82" s="17"/>
      <c r="R82" s="17"/>
      <c r="S82" s="17"/>
      <c r="U82" s="77" t="s">
        <v>355</v>
      </c>
      <c r="V82" s="5">
        <v>2570</v>
      </c>
      <c r="W82" s="29">
        <v>11.200000000000001</v>
      </c>
      <c r="X82" s="29">
        <v>11.5</v>
      </c>
      <c r="Y82" s="5">
        <f t="shared" si="8"/>
        <v>11.350000000000001</v>
      </c>
      <c r="Z82" s="5"/>
      <c r="AA82" s="5">
        <f t="shared" ref="AA82:AA145" si="12">IF(AD82="","",IFERROR(ABS(VLOOKUP(AD82,$L$17:$O$271,4,FALSE)-VLOOKUP(AD82,$D$17:$G$271,4,FALSE)),""))</f>
        <v>202.55</v>
      </c>
      <c r="AC82" s="77" t="s">
        <v>445</v>
      </c>
      <c r="AD82" s="5">
        <v>2350</v>
      </c>
      <c r="AE82" s="30">
        <v>2.5500000000000003</v>
      </c>
      <c r="AF82" s="30">
        <v>2.7</v>
      </c>
      <c r="AG82" s="5">
        <f t="shared" si="9"/>
        <v>2.625</v>
      </c>
      <c r="AI82" s="17"/>
      <c r="AJ82" s="17"/>
      <c r="AK82" s="17"/>
    </row>
    <row r="83" spans="3:37" x14ac:dyDescent="0.2">
      <c r="C83" s="77" t="s">
        <v>164</v>
      </c>
      <c r="D83" s="5">
        <v>2540</v>
      </c>
      <c r="E83" s="29">
        <v>26.1</v>
      </c>
      <c r="F83" s="29">
        <v>26.5</v>
      </c>
      <c r="G83" s="5">
        <f t="shared" si="6"/>
        <v>26.3</v>
      </c>
      <c r="H83" s="5"/>
      <c r="I83" s="5">
        <f t="shared" si="11"/>
        <v>197.57499999999999</v>
      </c>
      <c r="K83" s="77" t="s">
        <v>539</v>
      </c>
      <c r="L83" s="5">
        <v>2355</v>
      </c>
      <c r="M83" s="30">
        <v>1.8</v>
      </c>
      <c r="N83" s="30">
        <v>1.95</v>
      </c>
      <c r="O83" s="5">
        <f t="shared" si="7"/>
        <v>1.875</v>
      </c>
      <c r="Q83" s="17"/>
      <c r="R83" s="17"/>
      <c r="S83" s="17"/>
      <c r="U83" s="77" t="s">
        <v>356</v>
      </c>
      <c r="V83" s="5">
        <v>2575</v>
      </c>
      <c r="W83" s="29">
        <v>9.3000000000000007</v>
      </c>
      <c r="X83" s="29">
        <v>9.5</v>
      </c>
      <c r="Y83" s="5">
        <f t="shared" si="8"/>
        <v>9.4</v>
      </c>
      <c r="Z83" s="5"/>
      <c r="AA83" s="5">
        <f t="shared" si="12"/>
        <v>212.57499999999999</v>
      </c>
      <c r="AC83" s="77" t="s">
        <v>446</v>
      </c>
      <c r="AD83" s="5">
        <v>2340</v>
      </c>
      <c r="AE83" s="30">
        <v>2.35</v>
      </c>
      <c r="AF83" s="30">
        <v>2.5</v>
      </c>
      <c r="AG83" s="5">
        <f t="shared" si="9"/>
        <v>2.4249999999999998</v>
      </c>
      <c r="AI83" s="17"/>
      <c r="AJ83" s="17"/>
      <c r="AK83" s="17"/>
    </row>
    <row r="84" spans="3:37" x14ac:dyDescent="0.2">
      <c r="C84" s="77" t="s">
        <v>165</v>
      </c>
      <c r="D84" s="5">
        <v>2545</v>
      </c>
      <c r="E84" s="29">
        <v>22.5</v>
      </c>
      <c r="F84" s="29">
        <v>22.900000000000002</v>
      </c>
      <c r="G84" s="5">
        <f t="shared" ref="G84:G147" si="13">IF(C84="","",IF(OR(G83="KILL",G83=""),"",IF(COUNTIF(E82:E84, 0) = 2, "Kill",IF(E84&gt;0,(E84+F84)/2,"Omit"))))</f>
        <v>22.700000000000003</v>
      </c>
      <c r="H84" s="5"/>
      <c r="I84" s="5">
        <f t="shared" si="11"/>
        <v>202.55</v>
      </c>
      <c r="K84" s="77" t="s">
        <v>540</v>
      </c>
      <c r="L84" s="5">
        <v>2350</v>
      </c>
      <c r="M84" s="30">
        <v>1.75</v>
      </c>
      <c r="N84" s="30">
        <v>1.85</v>
      </c>
      <c r="O84" s="5">
        <f t="shared" ref="O84:O147" si="14">IF(K84="","",IF(OR(O83="KILL",O83=""),"",IF(COUNTIF(M82:M84, 0) = 2, "Kill",IF(M84&gt;0,(M84+N84)/2,"Omit"))))</f>
        <v>1.8</v>
      </c>
      <c r="Q84" s="17"/>
      <c r="R84" s="17"/>
      <c r="S84" s="17"/>
      <c r="U84" s="77" t="s">
        <v>357</v>
      </c>
      <c r="V84" s="5">
        <v>2580</v>
      </c>
      <c r="W84" s="29">
        <v>7.6000000000000005</v>
      </c>
      <c r="X84" s="29">
        <v>7.8</v>
      </c>
      <c r="Y84" s="5">
        <f t="shared" ref="Y84:Y147" si="15">IF(U84="","",IF(OR(Y83="KILL",Y83=""),"",IF(COUNTIF(W82:W84, 0) = 2, "Kill",IF(W84&gt;0,(W84+X84)/2,"Omit"))))</f>
        <v>7.7</v>
      </c>
      <c r="Z84" s="5"/>
      <c r="AA84" s="5">
        <f t="shared" si="12"/>
        <v>222.57500000000002</v>
      </c>
      <c r="AC84" s="77" t="s">
        <v>447</v>
      </c>
      <c r="AD84" s="5">
        <v>2330</v>
      </c>
      <c r="AE84" s="30">
        <v>2.2000000000000002</v>
      </c>
      <c r="AF84" s="30">
        <v>2.35</v>
      </c>
      <c r="AG84" s="5">
        <f t="shared" ref="AG84:AG147" si="16">IF(AC84="","",IF(OR(AG83="KILL",AG83=""),"",IF(COUNTIF(AE82:AE84, 0) = 2, "Kill",IF(AE84&gt;0,(AE84+AF84)/2,"Omit"))))</f>
        <v>2.2750000000000004</v>
      </c>
      <c r="AI84" s="17"/>
      <c r="AJ84" s="17"/>
      <c r="AK84" s="17"/>
    </row>
    <row r="85" spans="3:37" x14ac:dyDescent="0.2">
      <c r="C85" s="77" t="s">
        <v>166</v>
      </c>
      <c r="D85" s="5">
        <v>2550</v>
      </c>
      <c r="E85" s="29">
        <v>19.2</v>
      </c>
      <c r="F85" s="29">
        <v>19.600000000000001</v>
      </c>
      <c r="G85" s="5">
        <f t="shared" si="13"/>
        <v>19.399999999999999</v>
      </c>
      <c r="H85" s="5"/>
      <c r="I85" s="5">
        <f t="shared" si="11"/>
        <v>212.57499999999999</v>
      </c>
      <c r="K85" s="77" t="s">
        <v>541</v>
      </c>
      <c r="L85" s="5">
        <v>2340</v>
      </c>
      <c r="M85" s="30">
        <v>1.6</v>
      </c>
      <c r="N85" s="30">
        <v>1.75</v>
      </c>
      <c r="O85" s="5">
        <f t="shared" si="14"/>
        <v>1.675</v>
      </c>
      <c r="Q85" s="17"/>
      <c r="R85" s="17"/>
      <c r="S85" s="17"/>
      <c r="U85" s="77" t="s">
        <v>358</v>
      </c>
      <c r="V85" s="5">
        <v>2585</v>
      </c>
      <c r="W85" s="29">
        <v>6.1000000000000005</v>
      </c>
      <c r="X85" s="29">
        <v>6.4</v>
      </c>
      <c r="Y85" s="5">
        <f t="shared" si="15"/>
        <v>6.25</v>
      </c>
      <c r="Z85" s="5"/>
      <c r="AA85" s="5">
        <f t="shared" si="12"/>
        <v>227.52500000000001</v>
      </c>
      <c r="AC85" s="77" t="s">
        <v>448</v>
      </c>
      <c r="AD85" s="5">
        <v>2325</v>
      </c>
      <c r="AE85" s="30">
        <v>2.15</v>
      </c>
      <c r="AF85" s="30">
        <v>2.3000000000000003</v>
      </c>
      <c r="AG85" s="5">
        <f t="shared" si="16"/>
        <v>2.2250000000000001</v>
      </c>
      <c r="AI85" s="17"/>
      <c r="AJ85" s="17"/>
      <c r="AK85" s="17"/>
    </row>
    <row r="86" spans="3:37" x14ac:dyDescent="0.2">
      <c r="C86" s="77" t="s">
        <v>167</v>
      </c>
      <c r="D86" s="5">
        <v>2555</v>
      </c>
      <c r="E86" s="29">
        <v>16.100000000000001</v>
      </c>
      <c r="F86" s="29">
        <v>16.399999999999999</v>
      </c>
      <c r="G86" s="5">
        <f t="shared" si="13"/>
        <v>16.25</v>
      </c>
      <c r="H86" s="5"/>
      <c r="I86" s="5">
        <f t="shared" si="11"/>
        <v>222.57500000000002</v>
      </c>
      <c r="K86" s="77" t="s">
        <v>542</v>
      </c>
      <c r="L86" s="5">
        <v>2330</v>
      </c>
      <c r="M86" s="30">
        <v>1.5</v>
      </c>
      <c r="N86" s="30">
        <v>1.6500000000000001</v>
      </c>
      <c r="O86" s="5">
        <f t="shared" si="14"/>
        <v>1.5750000000000002</v>
      </c>
      <c r="Q86" s="17"/>
      <c r="R86" s="17"/>
      <c r="S86" s="17"/>
      <c r="U86" s="77" t="s">
        <v>359</v>
      </c>
      <c r="V86" s="5">
        <v>2590</v>
      </c>
      <c r="W86" s="29">
        <v>4.9000000000000004</v>
      </c>
      <c r="X86" s="29">
        <v>5.2</v>
      </c>
      <c r="Y86" s="5">
        <f t="shared" si="15"/>
        <v>5.0500000000000007</v>
      </c>
      <c r="Z86" s="5"/>
      <c r="AA86" s="5">
        <f t="shared" si="12"/>
        <v>232.57500000000002</v>
      </c>
      <c r="AC86" s="77" t="s">
        <v>449</v>
      </c>
      <c r="AD86" s="5">
        <v>2320</v>
      </c>
      <c r="AE86" s="30">
        <v>2.0499999999999998</v>
      </c>
      <c r="AF86" s="30">
        <v>2.2000000000000002</v>
      </c>
      <c r="AG86" s="5">
        <f t="shared" si="16"/>
        <v>2.125</v>
      </c>
      <c r="AI86" s="17"/>
      <c r="AJ86" s="17"/>
      <c r="AK86" s="17"/>
    </row>
    <row r="87" spans="3:37" x14ac:dyDescent="0.2">
      <c r="C87" s="77" t="s">
        <v>168</v>
      </c>
      <c r="D87" s="5">
        <v>2560</v>
      </c>
      <c r="E87" s="29">
        <v>13.3</v>
      </c>
      <c r="F87" s="29">
        <v>13.6</v>
      </c>
      <c r="G87" s="5">
        <f t="shared" si="13"/>
        <v>13.45</v>
      </c>
      <c r="H87" s="5"/>
      <c r="I87" s="5">
        <f t="shared" si="11"/>
        <v>227.52500000000001</v>
      </c>
      <c r="K87" s="77" t="s">
        <v>543</v>
      </c>
      <c r="L87" s="5">
        <v>2325</v>
      </c>
      <c r="M87" s="30">
        <v>1.45</v>
      </c>
      <c r="N87" s="30">
        <v>1.6</v>
      </c>
      <c r="O87" s="5">
        <f t="shared" si="14"/>
        <v>1.5249999999999999</v>
      </c>
      <c r="Q87" s="17"/>
      <c r="R87" s="17"/>
      <c r="S87" s="17"/>
      <c r="U87" s="77" t="s">
        <v>360</v>
      </c>
      <c r="V87" s="5">
        <v>2595</v>
      </c>
      <c r="W87" s="29">
        <v>4</v>
      </c>
      <c r="X87" s="29">
        <v>4.2</v>
      </c>
      <c r="Y87" s="5">
        <f t="shared" si="15"/>
        <v>4.0999999999999996</v>
      </c>
      <c r="Z87" s="5"/>
      <c r="AA87" s="5">
        <f t="shared" si="12"/>
        <v>242.54999999999998</v>
      </c>
      <c r="AC87" s="77" t="s">
        <v>450</v>
      </c>
      <c r="AD87" s="5">
        <v>2310</v>
      </c>
      <c r="AE87" s="30">
        <v>1.95</v>
      </c>
      <c r="AF87" s="30">
        <v>2.1</v>
      </c>
      <c r="AG87" s="5">
        <f t="shared" si="16"/>
        <v>2.0249999999999999</v>
      </c>
      <c r="AI87" s="17"/>
      <c r="AJ87" s="17"/>
      <c r="AK87" s="17"/>
    </row>
    <row r="88" spans="3:37" x14ac:dyDescent="0.2">
      <c r="C88" s="77" t="s">
        <v>270</v>
      </c>
      <c r="D88" s="5">
        <v>2565</v>
      </c>
      <c r="E88" s="29">
        <v>10.8</v>
      </c>
      <c r="F88" s="29">
        <v>11.1</v>
      </c>
      <c r="G88" s="5">
        <f t="shared" si="13"/>
        <v>10.95</v>
      </c>
      <c r="H88" s="5"/>
      <c r="I88" s="5">
        <f t="shared" si="11"/>
        <v>232.57500000000002</v>
      </c>
      <c r="K88" s="77" t="s">
        <v>544</v>
      </c>
      <c r="L88" s="5">
        <v>2320</v>
      </c>
      <c r="M88" s="30">
        <v>1.4000000000000001</v>
      </c>
      <c r="N88" s="30">
        <v>1.55</v>
      </c>
      <c r="O88" s="5">
        <f t="shared" si="14"/>
        <v>1.4750000000000001</v>
      </c>
      <c r="Q88" s="17"/>
      <c r="R88" s="17"/>
      <c r="S88" s="17"/>
      <c r="U88" s="77" t="s">
        <v>361</v>
      </c>
      <c r="V88" s="5">
        <v>2600</v>
      </c>
      <c r="W88" s="29">
        <v>3.2</v>
      </c>
      <c r="X88" s="29">
        <v>3.4</v>
      </c>
      <c r="Y88" s="5">
        <f t="shared" si="15"/>
        <v>3.3</v>
      </c>
      <c r="Z88" s="5"/>
      <c r="AA88" s="5">
        <f t="shared" si="12"/>
        <v>252.54999999999998</v>
      </c>
      <c r="AC88" s="77" t="s">
        <v>451</v>
      </c>
      <c r="AD88" s="5">
        <v>2300</v>
      </c>
      <c r="AE88" s="30">
        <v>1.8</v>
      </c>
      <c r="AF88" s="30">
        <v>1.95</v>
      </c>
      <c r="AG88" s="5">
        <f t="shared" si="16"/>
        <v>1.875</v>
      </c>
      <c r="AI88" s="17"/>
      <c r="AJ88" s="17"/>
      <c r="AK88" s="17"/>
    </row>
    <row r="89" spans="3:37" x14ac:dyDescent="0.2">
      <c r="C89" s="77" t="s">
        <v>271</v>
      </c>
      <c r="D89" s="5">
        <v>2570</v>
      </c>
      <c r="E89" s="29">
        <v>8.6</v>
      </c>
      <c r="F89" s="29">
        <v>9</v>
      </c>
      <c r="G89" s="5">
        <f t="shared" si="13"/>
        <v>8.8000000000000007</v>
      </c>
      <c r="H89" s="5"/>
      <c r="I89" s="5">
        <f t="shared" si="11"/>
        <v>242.54999999999998</v>
      </c>
      <c r="K89" s="77" t="s">
        <v>545</v>
      </c>
      <c r="L89" s="5">
        <v>2310</v>
      </c>
      <c r="M89" s="30">
        <v>1.35</v>
      </c>
      <c r="N89" s="30">
        <v>1.45</v>
      </c>
      <c r="O89" s="5">
        <f t="shared" si="14"/>
        <v>1.4</v>
      </c>
      <c r="Q89" s="17"/>
      <c r="R89" s="17"/>
      <c r="S89" s="17"/>
      <c r="U89" s="77" t="s">
        <v>362</v>
      </c>
      <c r="V89" s="5">
        <v>2605</v>
      </c>
      <c r="W89" s="29">
        <v>2.6</v>
      </c>
      <c r="X89" s="29">
        <v>2.75</v>
      </c>
      <c r="Y89" s="5">
        <f t="shared" si="15"/>
        <v>2.6749999999999998</v>
      </c>
      <c r="Z89" s="5"/>
      <c r="AA89" s="5">
        <f t="shared" si="12"/>
        <v>262.55</v>
      </c>
      <c r="AC89" s="77" t="s">
        <v>452</v>
      </c>
      <c r="AD89" s="5">
        <v>2290</v>
      </c>
      <c r="AE89" s="30">
        <v>1.7</v>
      </c>
      <c r="AF89" s="30">
        <v>1.85</v>
      </c>
      <c r="AG89" s="5">
        <f t="shared" si="16"/>
        <v>1.7749999999999999</v>
      </c>
      <c r="AI89" s="17"/>
      <c r="AJ89" s="17"/>
      <c r="AK89" s="17"/>
    </row>
    <row r="90" spans="3:37" x14ac:dyDescent="0.2">
      <c r="C90" s="77" t="s">
        <v>272</v>
      </c>
      <c r="D90" s="5">
        <v>2575</v>
      </c>
      <c r="E90" s="29">
        <v>6.9</v>
      </c>
      <c r="F90" s="29">
        <v>7.1000000000000005</v>
      </c>
      <c r="G90" s="5">
        <f t="shared" si="13"/>
        <v>7</v>
      </c>
      <c r="H90" s="5"/>
      <c r="I90" s="5">
        <f t="shared" si="11"/>
        <v>252.54999999999998</v>
      </c>
      <c r="K90" s="77" t="s">
        <v>546</v>
      </c>
      <c r="L90" s="5">
        <v>2300</v>
      </c>
      <c r="M90" s="30">
        <v>1.25</v>
      </c>
      <c r="N90" s="30">
        <v>1.35</v>
      </c>
      <c r="O90" s="5">
        <f t="shared" si="14"/>
        <v>1.3</v>
      </c>
      <c r="Q90" s="17"/>
      <c r="R90" s="17"/>
      <c r="S90" s="17"/>
      <c r="U90" s="77" t="s">
        <v>363</v>
      </c>
      <c r="V90" s="5">
        <v>2610</v>
      </c>
      <c r="W90" s="29">
        <v>2.1</v>
      </c>
      <c r="X90" s="29">
        <v>2.25</v>
      </c>
      <c r="Y90" s="5">
        <f t="shared" si="15"/>
        <v>2.1749999999999998</v>
      </c>
      <c r="Z90" s="5"/>
      <c r="AA90" s="5">
        <f t="shared" si="12"/>
        <v>272.5</v>
      </c>
      <c r="AC90" s="77" t="s">
        <v>453</v>
      </c>
      <c r="AD90" s="5">
        <v>2280</v>
      </c>
      <c r="AE90" s="30">
        <v>1.6</v>
      </c>
      <c r="AF90" s="30">
        <v>1.75</v>
      </c>
      <c r="AG90" s="5">
        <f t="shared" si="16"/>
        <v>1.675</v>
      </c>
      <c r="AI90" s="17"/>
      <c r="AJ90" s="17"/>
      <c r="AK90" s="17"/>
    </row>
    <row r="91" spans="3:37" x14ac:dyDescent="0.2">
      <c r="C91" s="77" t="s">
        <v>273</v>
      </c>
      <c r="D91" s="5">
        <v>2580</v>
      </c>
      <c r="E91" s="29">
        <v>5.4</v>
      </c>
      <c r="F91" s="29">
        <v>5.6000000000000005</v>
      </c>
      <c r="G91" s="5">
        <f t="shared" si="13"/>
        <v>5.5</v>
      </c>
      <c r="H91" s="5"/>
      <c r="I91" s="5">
        <f t="shared" si="11"/>
        <v>262.55</v>
      </c>
      <c r="K91" s="77" t="s">
        <v>547</v>
      </c>
      <c r="L91" s="5">
        <v>2290</v>
      </c>
      <c r="M91" s="30">
        <v>1.1500000000000001</v>
      </c>
      <c r="N91" s="30">
        <v>1.25</v>
      </c>
      <c r="O91" s="5">
        <f t="shared" si="14"/>
        <v>1.2000000000000002</v>
      </c>
      <c r="Q91" s="17"/>
      <c r="R91" s="17"/>
      <c r="S91" s="17"/>
      <c r="U91" s="77" t="s">
        <v>364</v>
      </c>
      <c r="V91" s="5">
        <v>2615</v>
      </c>
      <c r="W91" s="29">
        <v>1.75</v>
      </c>
      <c r="X91" s="29">
        <v>1.9000000000000001</v>
      </c>
      <c r="Y91" s="5">
        <f t="shared" si="15"/>
        <v>1.8250000000000002</v>
      </c>
      <c r="Z91" s="5"/>
      <c r="AA91" s="5">
        <f t="shared" si="12"/>
        <v>277.54999999999995</v>
      </c>
      <c r="AC91" s="77" t="s">
        <v>454</v>
      </c>
      <c r="AD91" s="5">
        <v>2275</v>
      </c>
      <c r="AE91" s="30">
        <v>1.55</v>
      </c>
      <c r="AF91" s="30">
        <v>1.7</v>
      </c>
      <c r="AG91" s="5">
        <f t="shared" si="16"/>
        <v>1.625</v>
      </c>
      <c r="AI91" s="17"/>
      <c r="AJ91" s="17"/>
      <c r="AK91" s="17"/>
    </row>
    <row r="92" spans="3:37" x14ac:dyDescent="0.2">
      <c r="C92" s="77" t="s">
        <v>274</v>
      </c>
      <c r="D92" s="5">
        <v>2585</v>
      </c>
      <c r="E92" s="29">
        <v>4.2</v>
      </c>
      <c r="F92" s="29">
        <v>4.5</v>
      </c>
      <c r="G92" s="5">
        <f t="shared" si="13"/>
        <v>4.3499999999999996</v>
      </c>
      <c r="H92" s="5"/>
      <c r="I92" s="5">
        <f t="shared" si="11"/>
        <v>272.5</v>
      </c>
      <c r="K92" s="77" t="s">
        <v>548</v>
      </c>
      <c r="L92" s="5">
        <v>2280</v>
      </c>
      <c r="M92" s="30">
        <v>1.1000000000000001</v>
      </c>
      <c r="N92" s="30">
        <v>1.2</v>
      </c>
      <c r="O92" s="5">
        <f t="shared" si="14"/>
        <v>1.1499999999999999</v>
      </c>
      <c r="Q92" s="17"/>
      <c r="R92" s="17"/>
      <c r="S92" s="17"/>
      <c r="U92" s="77" t="s">
        <v>365</v>
      </c>
      <c r="V92" s="5">
        <v>2620</v>
      </c>
      <c r="W92" s="29">
        <v>1.45</v>
      </c>
      <c r="X92" s="29">
        <v>1.6</v>
      </c>
      <c r="Y92" s="5">
        <f t="shared" si="15"/>
        <v>1.5249999999999999</v>
      </c>
      <c r="Z92" s="5"/>
      <c r="AA92" s="5">
        <f t="shared" si="12"/>
        <v>282.45</v>
      </c>
      <c r="AC92" s="77" t="s">
        <v>455</v>
      </c>
      <c r="AD92" s="5">
        <v>2270</v>
      </c>
      <c r="AE92" s="30">
        <v>1.5</v>
      </c>
      <c r="AF92" s="30">
        <v>1.6500000000000001</v>
      </c>
      <c r="AG92" s="5">
        <f t="shared" si="16"/>
        <v>1.5750000000000002</v>
      </c>
      <c r="AI92" s="17"/>
      <c r="AJ92" s="17"/>
      <c r="AK92" s="17"/>
    </row>
    <row r="93" spans="3:37" x14ac:dyDescent="0.2">
      <c r="C93" s="77" t="s">
        <v>275</v>
      </c>
      <c r="D93" s="5">
        <v>2590</v>
      </c>
      <c r="E93" s="29">
        <v>3.3000000000000003</v>
      </c>
      <c r="F93" s="29">
        <v>3.5</v>
      </c>
      <c r="G93" s="5">
        <f t="shared" si="13"/>
        <v>3.4000000000000004</v>
      </c>
      <c r="H93" s="5"/>
      <c r="I93" s="5">
        <f t="shared" si="11"/>
        <v>277.54999999999995</v>
      </c>
      <c r="K93" s="77" t="s">
        <v>549</v>
      </c>
      <c r="L93" s="5">
        <v>2275</v>
      </c>
      <c r="M93" s="30">
        <v>1.05</v>
      </c>
      <c r="N93" s="30">
        <v>1.1500000000000001</v>
      </c>
      <c r="O93" s="5">
        <f t="shared" si="14"/>
        <v>1.1000000000000001</v>
      </c>
      <c r="Q93" s="17"/>
      <c r="R93" s="17"/>
      <c r="S93" s="17"/>
      <c r="U93" s="77" t="s">
        <v>366</v>
      </c>
      <c r="V93" s="5">
        <v>2625</v>
      </c>
      <c r="W93" s="29">
        <v>1.2</v>
      </c>
      <c r="X93" s="29">
        <v>1.35</v>
      </c>
      <c r="Y93" s="5">
        <f t="shared" si="15"/>
        <v>1.2749999999999999</v>
      </c>
      <c r="Z93" s="5"/>
      <c r="AA93" s="5">
        <f t="shared" si="12"/>
        <v>302.50000000000006</v>
      </c>
      <c r="AC93" s="77" t="s">
        <v>456</v>
      </c>
      <c r="AD93" s="5">
        <v>2250</v>
      </c>
      <c r="AE93" s="30">
        <v>1.35</v>
      </c>
      <c r="AF93" s="30">
        <v>1.5</v>
      </c>
      <c r="AG93" s="5">
        <f t="shared" si="16"/>
        <v>1.425</v>
      </c>
      <c r="AI93" s="17"/>
      <c r="AJ93" s="17"/>
      <c r="AK93" s="17"/>
    </row>
    <row r="94" spans="3:37" x14ac:dyDescent="0.2">
      <c r="C94" s="77" t="s">
        <v>276</v>
      </c>
      <c r="D94" s="5">
        <v>2595</v>
      </c>
      <c r="E94" s="29">
        <v>2.5500000000000003</v>
      </c>
      <c r="F94" s="29">
        <v>2.75</v>
      </c>
      <c r="G94" s="5">
        <f t="shared" si="13"/>
        <v>2.6500000000000004</v>
      </c>
      <c r="H94" s="5"/>
      <c r="I94" s="5">
        <f t="shared" si="11"/>
        <v>282.45</v>
      </c>
      <c r="K94" s="77" t="s">
        <v>550</v>
      </c>
      <c r="L94" s="5">
        <v>2270</v>
      </c>
      <c r="M94" s="30">
        <v>1.05</v>
      </c>
      <c r="N94" s="30">
        <v>1.1500000000000001</v>
      </c>
      <c r="O94" s="5">
        <f t="shared" si="14"/>
        <v>1.1000000000000001</v>
      </c>
      <c r="Q94" s="17"/>
      <c r="R94" s="17"/>
      <c r="S94" s="17"/>
      <c r="U94" s="77" t="s">
        <v>367</v>
      </c>
      <c r="V94" s="5">
        <v>2630</v>
      </c>
      <c r="W94" s="29">
        <v>1</v>
      </c>
      <c r="X94" s="29">
        <v>1.1500000000000001</v>
      </c>
      <c r="Y94" s="5">
        <f t="shared" si="15"/>
        <v>1.0750000000000002</v>
      </c>
      <c r="Z94" s="5"/>
      <c r="AA94" s="5">
        <f t="shared" si="12"/>
        <v>327.39999999999998</v>
      </c>
      <c r="AC94" s="77" t="s">
        <v>457</v>
      </c>
      <c r="AD94" s="5">
        <v>2225</v>
      </c>
      <c r="AE94" s="30">
        <v>1.1500000000000001</v>
      </c>
      <c r="AF94" s="30">
        <v>1.3</v>
      </c>
      <c r="AG94" s="5">
        <f t="shared" si="16"/>
        <v>1.2250000000000001</v>
      </c>
      <c r="AI94" s="17"/>
      <c r="AJ94" s="17"/>
      <c r="AK94" s="17"/>
    </row>
    <row r="95" spans="3:37" x14ac:dyDescent="0.2">
      <c r="C95" s="77" t="s">
        <v>277</v>
      </c>
      <c r="D95" s="5">
        <v>2600</v>
      </c>
      <c r="E95" s="29">
        <v>2.0499999999999998</v>
      </c>
      <c r="F95" s="29">
        <v>2.2000000000000002</v>
      </c>
      <c r="G95" s="5">
        <f t="shared" si="13"/>
        <v>2.125</v>
      </c>
      <c r="H95" s="5"/>
      <c r="I95" s="5">
        <f t="shared" si="11"/>
        <v>292.64999999999998</v>
      </c>
      <c r="K95" s="77" t="s">
        <v>551</v>
      </c>
      <c r="L95" s="5">
        <v>2260</v>
      </c>
      <c r="M95" s="30">
        <v>0.95000000000000007</v>
      </c>
      <c r="N95" s="30">
        <v>1.05</v>
      </c>
      <c r="O95" s="5">
        <f t="shared" si="14"/>
        <v>1</v>
      </c>
      <c r="Q95" s="17"/>
      <c r="R95" s="17"/>
      <c r="S95" s="17"/>
      <c r="U95" s="77" t="s">
        <v>368</v>
      </c>
      <c r="V95" s="5">
        <v>2640</v>
      </c>
      <c r="W95" s="29">
        <v>0.75</v>
      </c>
      <c r="X95" s="29">
        <v>0.85</v>
      </c>
      <c r="Y95" s="5">
        <f t="shared" si="15"/>
        <v>0.8</v>
      </c>
      <c r="Z95" s="5"/>
      <c r="AA95" s="5">
        <f t="shared" si="12"/>
        <v>352.4</v>
      </c>
      <c r="AC95" s="77" t="s">
        <v>458</v>
      </c>
      <c r="AD95" s="5">
        <v>2200</v>
      </c>
      <c r="AE95" s="30">
        <v>1</v>
      </c>
      <c r="AF95" s="30">
        <v>1.1500000000000001</v>
      </c>
      <c r="AG95" s="5">
        <f t="shared" si="16"/>
        <v>1.0750000000000002</v>
      </c>
      <c r="AI95" s="17"/>
      <c r="AJ95" s="17"/>
      <c r="AK95" s="17"/>
    </row>
    <row r="96" spans="3:37" x14ac:dyDescent="0.2">
      <c r="C96" s="77" t="s">
        <v>278</v>
      </c>
      <c r="D96" s="5">
        <v>2605</v>
      </c>
      <c r="E96" s="29">
        <v>1.6</v>
      </c>
      <c r="F96" s="29">
        <v>1.8</v>
      </c>
      <c r="G96" s="5">
        <f t="shared" si="13"/>
        <v>1.7000000000000002</v>
      </c>
      <c r="H96" s="5"/>
      <c r="I96" s="5">
        <f t="shared" si="11"/>
        <v>302.50000000000006</v>
      </c>
      <c r="K96" s="77" t="s">
        <v>552</v>
      </c>
      <c r="L96" s="5">
        <v>2250</v>
      </c>
      <c r="M96" s="30">
        <v>0.9</v>
      </c>
      <c r="N96" s="30">
        <v>1</v>
      </c>
      <c r="O96" s="5">
        <f t="shared" si="14"/>
        <v>0.95</v>
      </c>
      <c r="Q96" s="17"/>
      <c r="R96" s="17"/>
      <c r="S96" s="17"/>
      <c r="U96" s="77" t="s">
        <v>369</v>
      </c>
      <c r="V96" s="5">
        <v>2650</v>
      </c>
      <c r="W96" s="29">
        <v>0.55000000000000004</v>
      </c>
      <c r="X96" s="29">
        <v>0.65</v>
      </c>
      <c r="Y96" s="5">
        <f t="shared" si="15"/>
        <v>0.60000000000000009</v>
      </c>
      <c r="Z96" s="5"/>
      <c r="AA96" s="5">
        <f t="shared" si="12"/>
        <v>377.40000000000003</v>
      </c>
      <c r="AC96" s="77" t="s">
        <v>459</v>
      </c>
      <c r="AD96" s="5">
        <v>2175</v>
      </c>
      <c r="AE96" s="30">
        <v>0.9</v>
      </c>
      <c r="AF96" s="30">
        <v>1</v>
      </c>
      <c r="AG96" s="5">
        <f t="shared" si="16"/>
        <v>0.95</v>
      </c>
      <c r="AI96" s="17"/>
      <c r="AJ96" s="17"/>
      <c r="AK96" s="17"/>
    </row>
    <row r="97" spans="3:37" x14ac:dyDescent="0.2">
      <c r="C97" s="77" t="s">
        <v>279</v>
      </c>
      <c r="D97" s="5">
        <v>2610</v>
      </c>
      <c r="E97" s="29">
        <v>1.3</v>
      </c>
      <c r="F97" s="29">
        <v>1.45</v>
      </c>
      <c r="G97" s="5">
        <f t="shared" si="13"/>
        <v>1.375</v>
      </c>
      <c r="H97" s="5"/>
      <c r="I97" s="5">
        <f t="shared" si="11"/>
        <v>312.45000000000005</v>
      </c>
      <c r="K97" s="77" t="s">
        <v>553</v>
      </c>
      <c r="L97" s="5">
        <v>2240</v>
      </c>
      <c r="M97" s="30">
        <v>0.85</v>
      </c>
      <c r="N97" s="30">
        <v>0.95000000000000007</v>
      </c>
      <c r="O97" s="5">
        <f t="shared" si="14"/>
        <v>0.9</v>
      </c>
      <c r="Q97" s="17"/>
      <c r="R97" s="17"/>
      <c r="S97" s="17"/>
      <c r="U97" s="77" t="s">
        <v>370</v>
      </c>
      <c r="V97" s="5">
        <v>2660</v>
      </c>
      <c r="W97" s="29">
        <v>0.4</v>
      </c>
      <c r="X97" s="29">
        <v>0.55000000000000004</v>
      </c>
      <c r="Y97" s="5">
        <f t="shared" si="15"/>
        <v>0.47500000000000003</v>
      </c>
      <c r="Z97" s="5"/>
      <c r="AA97" s="5">
        <f t="shared" si="12"/>
        <v>402.37500000000006</v>
      </c>
      <c r="AC97" s="77" t="s">
        <v>460</v>
      </c>
      <c r="AD97" s="5">
        <v>2150</v>
      </c>
      <c r="AE97" s="30">
        <v>0.8</v>
      </c>
      <c r="AF97" s="30">
        <v>0.9</v>
      </c>
      <c r="AG97" s="5">
        <f t="shared" si="16"/>
        <v>0.85000000000000009</v>
      </c>
      <c r="AI97" s="17"/>
      <c r="AJ97" s="17"/>
      <c r="AK97" s="17"/>
    </row>
    <row r="98" spans="3:37" x14ac:dyDescent="0.2">
      <c r="C98" s="77" t="s">
        <v>280</v>
      </c>
      <c r="D98" s="5">
        <v>2615</v>
      </c>
      <c r="E98" s="29">
        <v>1.05</v>
      </c>
      <c r="F98" s="29">
        <v>1.2</v>
      </c>
      <c r="G98" s="5">
        <f t="shared" si="13"/>
        <v>1.125</v>
      </c>
      <c r="H98" s="5"/>
      <c r="I98" s="5">
        <f t="shared" si="11"/>
        <v>322.60000000000002</v>
      </c>
      <c r="K98" s="77" t="s">
        <v>554</v>
      </c>
      <c r="L98" s="5">
        <v>2230</v>
      </c>
      <c r="M98" s="30">
        <v>0.8</v>
      </c>
      <c r="N98" s="30">
        <v>0.9</v>
      </c>
      <c r="O98" s="5">
        <f t="shared" si="14"/>
        <v>0.85000000000000009</v>
      </c>
      <c r="Q98" s="17"/>
      <c r="R98" s="17"/>
      <c r="S98" s="17"/>
      <c r="U98" s="77" t="s">
        <v>371</v>
      </c>
      <c r="V98" s="5">
        <v>2670</v>
      </c>
      <c r="W98" s="29">
        <v>0.3</v>
      </c>
      <c r="X98" s="29">
        <v>0.45</v>
      </c>
      <c r="Y98" s="5">
        <f t="shared" si="15"/>
        <v>0.375</v>
      </c>
      <c r="Z98" s="5"/>
      <c r="AA98" s="5">
        <f t="shared" si="12"/>
        <v>427.32500000000005</v>
      </c>
      <c r="AC98" s="77" t="s">
        <v>461</v>
      </c>
      <c r="AD98" s="5">
        <v>2125</v>
      </c>
      <c r="AE98" s="30">
        <v>0.70000000000000007</v>
      </c>
      <c r="AF98" s="30">
        <v>0.8</v>
      </c>
      <c r="AG98" s="5">
        <f t="shared" si="16"/>
        <v>0.75</v>
      </c>
      <c r="AI98" s="17"/>
      <c r="AJ98" s="17"/>
      <c r="AK98" s="17"/>
    </row>
    <row r="99" spans="3:37" x14ac:dyDescent="0.2">
      <c r="C99" s="77" t="s">
        <v>281</v>
      </c>
      <c r="D99" s="5">
        <v>2620</v>
      </c>
      <c r="E99" s="29">
        <v>0.85</v>
      </c>
      <c r="F99" s="29">
        <v>1</v>
      </c>
      <c r="G99" s="5">
        <f t="shared" si="13"/>
        <v>0.92500000000000004</v>
      </c>
      <c r="H99" s="5"/>
      <c r="I99" s="5">
        <f t="shared" si="11"/>
        <v>327.39999999999998</v>
      </c>
      <c r="K99" s="77" t="s">
        <v>555</v>
      </c>
      <c r="L99" s="5">
        <v>2225</v>
      </c>
      <c r="M99" s="30">
        <v>0.8</v>
      </c>
      <c r="N99" s="30">
        <v>0.9</v>
      </c>
      <c r="O99" s="5">
        <f t="shared" si="14"/>
        <v>0.85000000000000009</v>
      </c>
      <c r="Q99" s="17"/>
      <c r="R99" s="17"/>
      <c r="S99" s="17"/>
      <c r="U99" s="77" t="s">
        <v>372</v>
      </c>
      <c r="V99" s="5">
        <v>2675</v>
      </c>
      <c r="W99" s="29">
        <v>0.3</v>
      </c>
      <c r="X99" s="29">
        <v>0.4</v>
      </c>
      <c r="Y99" s="5">
        <f t="shared" si="15"/>
        <v>0.35</v>
      </c>
      <c r="Z99" s="5"/>
      <c r="AA99" s="5">
        <f t="shared" si="12"/>
        <v>452.3</v>
      </c>
      <c r="AC99" s="77" t="s">
        <v>462</v>
      </c>
      <c r="AD99" s="5">
        <v>2100</v>
      </c>
      <c r="AE99" s="30">
        <v>0.6</v>
      </c>
      <c r="AF99" s="30">
        <v>0.70000000000000007</v>
      </c>
      <c r="AG99" s="5">
        <f t="shared" si="16"/>
        <v>0.65</v>
      </c>
      <c r="AI99" s="17"/>
      <c r="AJ99" s="17"/>
      <c r="AK99" s="17"/>
    </row>
    <row r="100" spans="3:37" x14ac:dyDescent="0.2">
      <c r="C100" s="77" t="s">
        <v>282</v>
      </c>
      <c r="D100" s="5">
        <v>2625</v>
      </c>
      <c r="E100" s="29">
        <v>0.70000000000000007</v>
      </c>
      <c r="F100" s="29">
        <v>0.85</v>
      </c>
      <c r="G100" s="5">
        <f t="shared" si="13"/>
        <v>0.77500000000000002</v>
      </c>
      <c r="H100" s="5"/>
      <c r="I100" s="5">
        <f t="shared" si="11"/>
        <v>352.4</v>
      </c>
      <c r="K100" s="77" t="s">
        <v>556</v>
      </c>
      <c r="L100" s="5">
        <v>2200</v>
      </c>
      <c r="M100" s="30">
        <v>0.70000000000000007</v>
      </c>
      <c r="N100" s="30">
        <v>0.8</v>
      </c>
      <c r="O100" s="5">
        <f t="shared" si="14"/>
        <v>0.75</v>
      </c>
      <c r="Q100" s="17"/>
      <c r="R100" s="17"/>
      <c r="S100" s="17"/>
      <c r="U100" s="77" t="s">
        <v>373</v>
      </c>
      <c r="V100" s="5">
        <v>2700</v>
      </c>
      <c r="W100" s="29">
        <v>0.15</v>
      </c>
      <c r="X100" s="29">
        <v>0.25</v>
      </c>
      <c r="Y100" s="5">
        <f t="shared" si="15"/>
        <v>0.2</v>
      </c>
      <c r="Z100" s="5"/>
      <c r="AA100" s="5">
        <f t="shared" si="12"/>
        <v>477.45000000000005</v>
      </c>
      <c r="AC100" s="77" t="s">
        <v>463</v>
      </c>
      <c r="AD100" s="5">
        <v>2075</v>
      </c>
      <c r="AE100" s="30">
        <v>0.55000000000000004</v>
      </c>
      <c r="AF100" s="30">
        <v>0.65</v>
      </c>
      <c r="AG100" s="5">
        <f t="shared" si="16"/>
        <v>0.60000000000000009</v>
      </c>
      <c r="AI100" s="17"/>
      <c r="AJ100" s="17"/>
      <c r="AK100" s="17"/>
    </row>
    <row r="101" spans="3:37" x14ac:dyDescent="0.2">
      <c r="C101" s="77" t="s">
        <v>283</v>
      </c>
      <c r="D101" s="5">
        <v>2630</v>
      </c>
      <c r="E101" s="29">
        <v>0.6</v>
      </c>
      <c r="F101" s="29">
        <v>0.75</v>
      </c>
      <c r="G101" s="5">
        <f t="shared" si="13"/>
        <v>0.67500000000000004</v>
      </c>
      <c r="H101" s="5"/>
      <c r="I101" s="5">
        <f t="shared" si="11"/>
        <v>377.40000000000003</v>
      </c>
      <c r="K101" s="77" t="s">
        <v>557</v>
      </c>
      <c r="L101" s="5">
        <v>2175</v>
      </c>
      <c r="M101" s="30">
        <v>0.6</v>
      </c>
      <c r="N101" s="30">
        <v>0.70000000000000007</v>
      </c>
      <c r="O101" s="5">
        <f t="shared" si="14"/>
        <v>0.65</v>
      </c>
      <c r="Q101" s="17"/>
      <c r="R101" s="17"/>
      <c r="S101" s="17"/>
      <c r="U101" s="77" t="s">
        <v>374</v>
      </c>
      <c r="V101" s="5">
        <v>2725</v>
      </c>
      <c r="W101" s="29">
        <v>0.1</v>
      </c>
      <c r="X101" s="29">
        <v>0.2</v>
      </c>
      <c r="Y101" s="5">
        <f t="shared" si="15"/>
        <v>0.15000000000000002</v>
      </c>
      <c r="Z101" s="5"/>
      <c r="AA101" s="5">
        <f t="shared" si="12"/>
        <v>502.27499999999998</v>
      </c>
      <c r="AC101" s="77" t="s">
        <v>464</v>
      </c>
      <c r="AD101" s="5">
        <v>2050</v>
      </c>
      <c r="AE101" s="30">
        <v>0.5</v>
      </c>
      <c r="AF101" s="30">
        <v>0.6</v>
      </c>
      <c r="AG101" s="5">
        <f t="shared" si="16"/>
        <v>0.55000000000000004</v>
      </c>
      <c r="AI101" s="17"/>
      <c r="AJ101" s="17"/>
      <c r="AK101" s="17"/>
    </row>
    <row r="102" spans="3:37" x14ac:dyDescent="0.2">
      <c r="C102" s="77" t="s">
        <v>284</v>
      </c>
      <c r="D102" s="5">
        <v>2640</v>
      </c>
      <c r="E102" s="29">
        <v>0.4</v>
      </c>
      <c r="F102" s="29">
        <v>0.55000000000000004</v>
      </c>
      <c r="G102" s="5">
        <f t="shared" si="13"/>
        <v>0.47500000000000003</v>
      </c>
      <c r="H102" s="5"/>
      <c r="I102" s="5">
        <f t="shared" si="11"/>
        <v>402.37500000000006</v>
      </c>
      <c r="K102" s="77" t="s">
        <v>558</v>
      </c>
      <c r="L102" s="5">
        <v>2150</v>
      </c>
      <c r="M102" s="30">
        <v>0.5</v>
      </c>
      <c r="N102" s="30">
        <v>0.65</v>
      </c>
      <c r="O102" s="5">
        <f t="shared" si="14"/>
        <v>0.57499999999999996</v>
      </c>
      <c r="Q102" s="17"/>
      <c r="R102" s="17"/>
      <c r="S102" s="17"/>
      <c r="U102" s="77" t="s">
        <v>375</v>
      </c>
      <c r="V102" s="5">
        <v>2750</v>
      </c>
      <c r="W102" s="29">
        <v>0.05</v>
      </c>
      <c r="X102" s="29">
        <v>0.15</v>
      </c>
      <c r="Y102" s="5">
        <f t="shared" si="15"/>
        <v>0.1</v>
      </c>
      <c r="Z102" s="5"/>
      <c r="AA102" s="5">
        <f t="shared" si="12"/>
        <v>552.35000000000014</v>
      </c>
      <c r="AC102" s="77" t="s">
        <v>465</v>
      </c>
      <c r="AD102" s="5">
        <v>2000</v>
      </c>
      <c r="AE102" s="30">
        <v>0.4</v>
      </c>
      <c r="AF102" s="30">
        <v>0.5</v>
      </c>
      <c r="AG102" s="5">
        <f t="shared" si="16"/>
        <v>0.45</v>
      </c>
      <c r="AI102" s="17"/>
      <c r="AJ102" s="17"/>
      <c r="AK102" s="17"/>
    </row>
    <row r="103" spans="3:37" x14ac:dyDescent="0.2">
      <c r="C103" s="77" t="s">
        <v>285</v>
      </c>
      <c r="D103" s="5">
        <v>2650</v>
      </c>
      <c r="E103" s="29">
        <v>0.3</v>
      </c>
      <c r="F103" s="29">
        <v>0.4</v>
      </c>
      <c r="G103" s="5">
        <f t="shared" si="13"/>
        <v>0.35</v>
      </c>
      <c r="H103" s="5"/>
      <c r="I103" s="5">
        <f t="shared" si="11"/>
        <v>427.32500000000005</v>
      </c>
      <c r="K103" s="77" t="s">
        <v>559</v>
      </c>
      <c r="L103" s="5">
        <v>2125</v>
      </c>
      <c r="M103" s="30">
        <v>0.45</v>
      </c>
      <c r="N103" s="30">
        <v>0.6</v>
      </c>
      <c r="O103" s="5">
        <f t="shared" si="14"/>
        <v>0.52500000000000002</v>
      </c>
      <c r="Q103" s="17"/>
      <c r="R103" s="17"/>
      <c r="S103" s="17"/>
      <c r="U103" s="77" t="s">
        <v>376</v>
      </c>
      <c r="V103" s="5">
        <v>2775</v>
      </c>
      <c r="W103" s="29">
        <v>0</v>
      </c>
      <c r="X103" s="29">
        <v>0.15</v>
      </c>
      <c r="Y103" s="5" t="str">
        <f t="shared" si="15"/>
        <v>Omit</v>
      </c>
      <c r="Z103" s="5"/>
      <c r="AA103" s="5">
        <f t="shared" si="12"/>
        <v>602.29999999999995</v>
      </c>
      <c r="AC103" s="77" t="s">
        <v>466</v>
      </c>
      <c r="AD103" s="5">
        <v>1950</v>
      </c>
      <c r="AE103" s="30">
        <v>0.3</v>
      </c>
      <c r="AF103" s="30">
        <v>0.4</v>
      </c>
      <c r="AG103" s="5">
        <f t="shared" si="16"/>
        <v>0.35</v>
      </c>
      <c r="AI103" s="17"/>
      <c r="AJ103" s="17"/>
      <c r="AK103" s="17"/>
    </row>
    <row r="104" spans="3:37" x14ac:dyDescent="0.2">
      <c r="C104" s="77" t="s">
        <v>286</v>
      </c>
      <c r="D104" s="5">
        <v>2660</v>
      </c>
      <c r="E104" s="29">
        <v>0.2</v>
      </c>
      <c r="F104" s="29">
        <v>0.35000000000000003</v>
      </c>
      <c r="G104" s="5">
        <f t="shared" si="13"/>
        <v>0.27500000000000002</v>
      </c>
      <c r="H104" s="5"/>
      <c r="I104" s="5">
        <f t="shared" si="11"/>
        <v>452.3</v>
      </c>
      <c r="K104" s="77" t="s">
        <v>560</v>
      </c>
      <c r="L104" s="5">
        <v>2100</v>
      </c>
      <c r="M104" s="30">
        <v>0.4</v>
      </c>
      <c r="N104" s="30">
        <v>0.5</v>
      </c>
      <c r="O104" s="5">
        <f t="shared" si="14"/>
        <v>0.45</v>
      </c>
      <c r="U104" s="77" t="s">
        <v>377</v>
      </c>
      <c r="V104" s="5">
        <v>2800</v>
      </c>
      <c r="W104" s="29">
        <v>0</v>
      </c>
      <c r="X104" s="29">
        <v>0.1</v>
      </c>
      <c r="Y104" s="5" t="str">
        <f t="shared" si="15"/>
        <v>Kill</v>
      </c>
      <c r="Z104" s="5"/>
      <c r="AA104" s="5">
        <f t="shared" si="12"/>
        <v>652.02499999999998</v>
      </c>
      <c r="AC104" s="77" t="s">
        <v>467</v>
      </c>
      <c r="AD104" s="5">
        <v>1900</v>
      </c>
      <c r="AE104" s="30">
        <v>0.25</v>
      </c>
      <c r="AF104" s="30">
        <v>0.35000000000000003</v>
      </c>
      <c r="AG104" s="5">
        <f t="shared" si="16"/>
        <v>0.30000000000000004</v>
      </c>
    </row>
    <row r="105" spans="3:37" x14ac:dyDescent="0.2">
      <c r="C105" s="77" t="s">
        <v>287</v>
      </c>
      <c r="D105" s="5">
        <v>2670</v>
      </c>
      <c r="E105" s="29">
        <v>0.15</v>
      </c>
      <c r="F105" s="29">
        <v>0.3</v>
      </c>
      <c r="G105" s="5">
        <f t="shared" si="13"/>
        <v>0.22499999999999998</v>
      </c>
      <c r="H105" s="5"/>
      <c r="I105" s="5">
        <f t="shared" si="11"/>
        <v>477.45000000000005</v>
      </c>
      <c r="K105" s="77" t="s">
        <v>561</v>
      </c>
      <c r="L105" s="5">
        <v>2075</v>
      </c>
      <c r="M105" s="30">
        <v>0.35000000000000003</v>
      </c>
      <c r="N105" s="30">
        <v>0.45</v>
      </c>
      <c r="O105" s="5">
        <f t="shared" si="14"/>
        <v>0.4</v>
      </c>
      <c r="U105" s="77" t="s">
        <v>378</v>
      </c>
      <c r="V105" s="5">
        <v>2850</v>
      </c>
      <c r="W105" s="29">
        <v>0</v>
      </c>
      <c r="X105" s="29">
        <v>0.1</v>
      </c>
      <c r="Y105" s="5" t="str">
        <f t="shared" si="15"/>
        <v/>
      </c>
      <c r="Z105" s="5"/>
      <c r="AA105" s="5">
        <f t="shared" si="12"/>
        <v>701.97500000000014</v>
      </c>
      <c r="AC105" s="77" t="s">
        <v>468</v>
      </c>
      <c r="AD105" s="5">
        <v>1850</v>
      </c>
      <c r="AE105" s="30">
        <v>0.15</v>
      </c>
      <c r="AF105" s="30">
        <v>0.3</v>
      </c>
      <c r="AG105" s="5">
        <f t="shared" si="16"/>
        <v>0.22499999999999998</v>
      </c>
    </row>
    <row r="106" spans="3:37" x14ac:dyDescent="0.2">
      <c r="C106" s="77" t="s">
        <v>288</v>
      </c>
      <c r="D106" s="5">
        <v>2675</v>
      </c>
      <c r="E106" s="29">
        <v>0.15</v>
      </c>
      <c r="F106" s="29">
        <v>0.25</v>
      </c>
      <c r="G106" s="5">
        <f t="shared" si="13"/>
        <v>0.2</v>
      </c>
      <c r="H106" s="5"/>
      <c r="I106" s="5">
        <f t="shared" si="11"/>
        <v>502.27499999999998</v>
      </c>
      <c r="K106" s="77" t="s">
        <v>562</v>
      </c>
      <c r="L106" s="5">
        <v>2050</v>
      </c>
      <c r="M106" s="30">
        <v>0.3</v>
      </c>
      <c r="N106" s="30">
        <v>0.45</v>
      </c>
      <c r="O106" s="5">
        <f t="shared" si="14"/>
        <v>0.375</v>
      </c>
      <c r="U106" s="77" t="s">
        <v>379</v>
      </c>
      <c r="V106" s="5">
        <v>2900</v>
      </c>
      <c r="W106" s="29">
        <v>0</v>
      </c>
      <c r="X106" s="29">
        <v>0.05</v>
      </c>
      <c r="Y106" s="5" t="str">
        <f t="shared" si="15"/>
        <v/>
      </c>
      <c r="Z106" s="5"/>
      <c r="AA106" s="5">
        <f t="shared" si="12"/>
        <v>751.9</v>
      </c>
      <c r="AC106" s="77" t="s">
        <v>469</v>
      </c>
      <c r="AD106" s="5">
        <v>1800</v>
      </c>
      <c r="AE106" s="30">
        <v>0.1</v>
      </c>
      <c r="AF106" s="30">
        <v>0.25</v>
      </c>
      <c r="AG106" s="5">
        <f t="shared" si="16"/>
        <v>0.17499999999999999</v>
      </c>
    </row>
    <row r="107" spans="3:37" x14ac:dyDescent="0.2">
      <c r="C107" s="77" t="s">
        <v>289</v>
      </c>
      <c r="D107" s="5">
        <v>2700</v>
      </c>
      <c r="E107" s="29">
        <v>0.05</v>
      </c>
      <c r="F107" s="29">
        <v>0.2</v>
      </c>
      <c r="G107" s="5">
        <f t="shared" si="13"/>
        <v>0.125</v>
      </c>
      <c r="H107" s="5"/>
      <c r="I107" s="5">
        <f t="shared" si="11"/>
        <v>527.19999999999993</v>
      </c>
      <c r="K107" s="77" t="s">
        <v>563</v>
      </c>
      <c r="L107" s="5">
        <v>2025</v>
      </c>
      <c r="M107" s="30">
        <v>0.3</v>
      </c>
      <c r="N107" s="30">
        <v>0.4</v>
      </c>
      <c r="O107" s="5">
        <f t="shared" si="14"/>
        <v>0.35</v>
      </c>
      <c r="U107" s="77"/>
      <c r="W107" s="29"/>
      <c r="X107" s="29"/>
      <c r="Y107" s="5" t="str">
        <f t="shared" si="15"/>
        <v/>
      </c>
      <c r="Z107" s="5"/>
      <c r="AA107" s="5" t="str">
        <f t="shared" si="12"/>
        <v/>
      </c>
      <c r="AC107" s="77" t="s">
        <v>470</v>
      </c>
      <c r="AD107" s="5">
        <v>1750</v>
      </c>
      <c r="AE107" s="30">
        <v>0.1</v>
      </c>
      <c r="AF107" s="30">
        <v>0.2</v>
      </c>
      <c r="AG107" s="5">
        <f t="shared" si="16"/>
        <v>0.15000000000000002</v>
      </c>
    </row>
    <row r="108" spans="3:37" x14ac:dyDescent="0.2">
      <c r="C108" s="77" t="s">
        <v>290</v>
      </c>
      <c r="D108" s="5">
        <v>2725</v>
      </c>
      <c r="E108" s="29">
        <v>0.05</v>
      </c>
      <c r="F108" s="29">
        <v>0.15</v>
      </c>
      <c r="G108" s="5">
        <f t="shared" si="13"/>
        <v>0.1</v>
      </c>
      <c r="H108" s="5"/>
      <c r="I108" s="5">
        <f t="shared" si="11"/>
        <v>552.35000000000014</v>
      </c>
      <c r="K108" s="77" t="s">
        <v>564</v>
      </c>
      <c r="L108" s="5">
        <v>2000</v>
      </c>
      <c r="M108" s="30">
        <v>0.25</v>
      </c>
      <c r="N108" s="30">
        <v>0.35000000000000003</v>
      </c>
      <c r="O108" s="5">
        <f t="shared" si="14"/>
        <v>0.30000000000000004</v>
      </c>
      <c r="U108" s="77"/>
      <c r="W108" s="29"/>
      <c r="X108" s="29"/>
      <c r="Y108" s="5" t="str">
        <f t="shared" si="15"/>
        <v/>
      </c>
      <c r="Z108" s="5"/>
      <c r="AA108" s="5" t="str">
        <f t="shared" si="12"/>
        <v/>
      </c>
      <c r="AC108" s="77" t="s">
        <v>471</v>
      </c>
      <c r="AD108" s="5">
        <v>1700</v>
      </c>
      <c r="AE108" s="30">
        <v>0.05</v>
      </c>
      <c r="AF108" s="30">
        <v>0.15</v>
      </c>
      <c r="AG108" s="5">
        <f t="shared" si="16"/>
        <v>0.1</v>
      </c>
    </row>
    <row r="109" spans="3:37" x14ac:dyDescent="0.2">
      <c r="C109" s="77" t="s">
        <v>291</v>
      </c>
      <c r="D109" s="5">
        <v>2750</v>
      </c>
      <c r="E109" s="29">
        <v>0</v>
      </c>
      <c r="F109" s="29">
        <v>0.1</v>
      </c>
      <c r="G109" s="5" t="str">
        <f t="shared" si="13"/>
        <v>Omit</v>
      </c>
      <c r="H109" s="5"/>
      <c r="I109" s="5">
        <f t="shared" si="11"/>
        <v>602.29999999999995</v>
      </c>
      <c r="K109" s="77" t="s">
        <v>565</v>
      </c>
      <c r="L109" s="5">
        <v>1950</v>
      </c>
      <c r="M109" s="30">
        <v>0.2</v>
      </c>
      <c r="N109" s="30">
        <v>0.3</v>
      </c>
      <c r="O109" s="5">
        <f t="shared" si="14"/>
        <v>0.25</v>
      </c>
      <c r="U109" s="77"/>
      <c r="W109" s="29"/>
      <c r="X109" s="29"/>
      <c r="Y109" s="5" t="str">
        <f t="shared" si="15"/>
        <v/>
      </c>
      <c r="Z109" s="5"/>
      <c r="AA109" s="5" t="str">
        <f t="shared" si="12"/>
        <v/>
      </c>
      <c r="AC109" s="77" t="s">
        <v>472</v>
      </c>
      <c r="AD109" s="5">
        <v>1600</v>
      </c>
      <c r="AE109" s="30">
        <v>0</v>
      </c>
      <c r="AF109" s="30">
        <v>0.15</v>
      </c>
      <c r="AG109" s="5" t="str">
        <f t="shared" si="16"/>
        <v>Omit</v>
      </c>
    </row>
    <row r="110" spans="3:37" x14ac:dyDescent="0.2">
      <c r="C110" s="77" t="s">
        <v>292</v>
      </c>
      <c r="D110" s="5">
        <v>2800</v>
      </c>
      <c r="E110" s="29">
        <v>0</v>
      </c>
      <c r="F110" s="29">
        <v>0.05</v>
      </c>
      <c r="G110" s="5" t="str">
        <f t="shared" si="13"/>
        <v>Kill</v>
      </c>
      <c r="H110" s="5"/>
      <c r="I110" s="5">
        <f t="shared" si="11"/>
        <v>652.02499999999998</v>
      </c>
      <c r="K110" s="77" t="s">
        <v>566</v>
      </c>
      <c r="L110" s="5">
        <v>1900</v>
      </c>
      <c r="M110" s="30">
        <v>0.15</v>
      </c>
      <c r="N110" s="30">
        <v>0.3</v>
      </c>
      <c r="O110" s="5">
        <f t="shared" si="14"/>
        <v>0.22499999999999998</v>
      </c>
      <c r="U110" s="77"/>
      <c r="W110" s="29"/>
      <c r="X110" s="29"/>
      <c r="Y110" s="5" t="str">
        <f t="shared" si="15"/>
        <v/>
      </c>
      <c r="Z110" s="5"/>
      <c r="AA110" s="5" t="str">
        <f t="shared" si="12"/>
        <v/>
      </c>
      <c r="AC110" s="77"/>
      <c r="AD110" s="5"/>
      <c r="AE110" s="30"/>
      <c r="AF110" s="30"/>
      <c r="AG110" s="5" t="str">
        <f t="shared" si="16"/>
        <v/>
      </c>
    </row>
    <row r="111" spans="3:37" x14ac:dyDescent="0.2">
      <c r="C111" s="77" t="s">
        <v>293</v>
      </c>
      <c r="D111" s="5">
        <v>2850</v>
      </c>
      <c r="E111" s="29">
        <v>0</v>
      </c>
      <c r="F111" s="29">
        <v>0.05</v>
      </c>
      <c r="G111" s="5" t="str">
        <f t="shared" si="13"/>
        <v/>
      </c>
      <c r="H111" s="5"/>
      <c r="I111" s="5">
        <f t="shared" si="11"/>
        <v>701.97500000000014</v>
      </c>
      <c r="K111" s="77" t="s">
        <v>567</v>
      </c>
      <c r="L111" s="5">
        <v>1850</v>
      </c>
      <c r="M111" s="30">
        <v>0.1</v>
      </c>
      <c r="N111" s="30">
        <v>0.25</v>
      </c>
      <c r="O111" s="5">
        <f t="shared" si="14"/>
        <v>0.17499999999999999</v>
      </c>
      <c r="U111" s="77"/>
      <c r="W111" s="29"/>
      <c r="X111" s="29"/>
      <c r="Y111" s="5" t="str">
        <f t="shared" si="15"/>
        <v/>
      </c>
      <c r="Z111" s="5"/>
      <c r="AA111" s="5" t="str">
        <f t="shared" si="12"/>
        <v/>
      </c>
      <c r="AC111" s="77"/>
      <c r="AD111" s="5"/>
      <c r="AE111" s="30"/>
      <c r="AF111" s="30"/>
      <c r="AG111" s="5" t="str">
        <f t="shared" si="16"/>
        <v/>
      </c>
    </row>
    <row r="112" spans="3:37" x14ac:dyDescent="0.2">
      <c r="C112" s="77" t="s">
        <v>294</v>
      </c>
      <c r="D112" s="5">
        <v>2900</v>
      </c>
      <c r="E112" s="29">
        <v>0</v>
      </c>
      <c r="F112" s="29">
        <v>0.05</v>
      </c>
      <c r="G112" s="5" t="str">
        <f t="shared" si="13"/>
        <v/>
      </c>
      <c r="H112" s="5"/>
      <c r="I112" s="5">
        <f t="shared" si="11"/>
        <v>751.9</v>
      </c>
      <c r="K112" s="77" t="s">
        <v>568</v>
      </c>
      <c r="L112" s="5">
        <v>1800</v>
      </c>
      <c r="M112" s="30">
        <v>0.1</v>
      </c>
      <c r="N112" s="30">
        <v>0.2</v>
      </c>
      <c r="O112" s="5">
        <f t="shared" si="14"/>
        <v>0.15000000000000002</v>
      </c>
      <c r="U112" s="77"/>
      <c r="W112" s="29"/>
      <c r="X112" s="29"/>
      <c r="Y112" s="5" t="str">
        <f t="shared" si="15"/>
        <v/>
      </c>
      <c r="Z112" s="5"/>
      <c r="AA112" s="5" t="str">
        <f t="shared" si="12"/>
        <v/>
      </c>
      <c r="AC112" s="77"/>
      <c r="AD112" s="5"/>
      <c r="AE112" s="30"/>
      <c r="AF112" s="30"/>
      <c r="AG112" s="5" t="str">
        <f t="shared" si="16"/>
        <v/>
      </c>
    </row>
    <row r="113" spans="3:33" x14ac:dyDescent="0.2">
      <c r="C113" s="77"/>
      <c r="E113" s="29"/>
      <c r="F113" s="29"/>
      <c r="G113" s="5" t="str">
        <f t="shared" si="13"/>
        <v/>
      </c>
      <c r="H113" s="5"/>
      <c r="I113" s="5" t="str">
        <f t="shared" si="11"/>
        <v/>
      </c>
      <c r="K113" s="77" t="s">
        <v>569</v>
      </c>
      <c r="L113" s="5">
        <v>1750</v>
      </c>
      <c r="M113" s="30">
        <v>0.05</v>
      </c>
      <c r="N113" s="30">
        <v>0.2</v>
      </c>
      <c r="O113" s="5">
        <f t="shared" si="14"/>
        <v>0.125</v>
      </c>
      <c r="U113" s="77"/>
      <c r="W113" s="29"/>
      <c r="X113" s="29"/>
      <c r="Y113" s="5" t="str">
        <f t="shared" si="15"/>
        <v/>
      </c>
      <c r="Z113" s="5"/>
      <c r="AA113" s="5" t="str">
        <f t="shared" si="12"/>
        <v/>
      </c>
      <c r="AC113" s="77"/>
      <c r="AD113" s="5"/>
      <c r="AE113" s="30"/>
      <c r="AF113" s="30"/>
      <c r="AG113" s="5" t="str">
        <f t="shared" si="16"/>
        <v/>
      </c>
    </row>
    <row r="114" spans="3:33" x14ac:dyDescent="0.2">
      <c r="C114" s="77"/>
      <c r="E114" s="29"/>
      <c r="F114" s="29"/>
      <c r="G114" s="5" t="str">
        <f t="shared" si="13"/>
        <v/>
      </c>
      <c r="H114" s="5"/>
      <c r="I114" s="5" t="str">
        <f t="shared" si="11"/>
        <v/>
      </c>
      <c r="K114" s="77" t="s">
        <v>570</v>
      </c>
      <c r="L114" s="5">
        <v>1700</v>
      </c>
      <c r="M114" s="30">
        <v>0.05</v>
      </c>
      <c r="N114" s="30">
        <v>0.15</v>
      </c>
      <c r="O114" s="5">
        <f t="shared" si="14"/>
        <v>0.1</v>
      </c>
      <c r="U114" s="77"/>
      <c r="W114" s="29"/>
      <c r="X114" s="29"/>
      <c r="Y114" s="5" t="str">
        <f t="shared" si="15"/>
        <v/>
      </c>
      <c r="Z114" s="5"/>
      <c r="AA114" s="5" t="str">
        <f t="shared" si="12"/>
        <v/>
      </c>
      <c r="AC114" s="77"/>
      <c r="AD114" s="5"/>
      <c r="AE114" s="30"/>
      <c r="AF114" s="30"/>
      <c r="AG114" s="5" t="str">
        <f t="shared" si="16"/>
        <v/>
      </c>
    </row>
    <row r="115" spans="3:33" x14ac:dyDescent="0.2">
      <c r="C115" s="77"/>
      <c r="E115" s="29"/>
      <c r="F115" s="29"/>
      <c r="G115" s="5" t="str">
        <f t="shared" si="13"/>
        <v/>
      </c>
      <c r="H115" s="5"/>
      <c r="I115" s="5" t="str">
        <f t="shared" si="11"/>
        <v/>
      </c>
      <c r="K115" s="77" t="s">
        <v>571</v>
      </c>
      <c r="L115" s="5">
        <v>1650</v>
      </c>
      <c r="M115" s="30">
        <v>0.05</v>
      </c>
      <c r="N115" s="30">
        <v>0.15</v>
      </c>
      <c r="O115" s="5">
        <f t="shared" si="14"/>
        <v>0.1</v>
      </c>
      <c r="U115" s="77"/>
      <c r="W115" s="29"/>
      <c r="X115" s="29"/>
      <c r="Y115" s="5" t="str">
        <f t="shared" si="15"/>
        <v/>
      </c>
      <c r="Z115" s="5"/>
      <c r="AA115" s="5" t="str">
        <f t="shared" si="12"/>
        <v/>
      </c>
      <c r="AC115" s="77"/>
      <c r="AD115" s="5"/>
      <c r="AE115" s="30"/>
      <c r="AF115" s="30"/>
      <c r="AG115" s="5" t="str">
        <f t="shared" si="16"/>
        <v/>
      </c>
    </row>
    <row r="116" spans="3:33" x14ac:dyDescent="0.2">
      <c r="C116" s="77"/>
      <c r="E116" s="29"/>
      <c r="F116" s="29"/>
      <c r="G116" s="5" t="str">
        <f t="shared" si="13"/>
        <v/>
      </c>
      <c r="H116" s="5"/>
      <c r="I116" s="5" t="str">
        <f t="shared" si="11"/>
        <v/>
      </c>
      <c r="K116" s="77" t="s">
        <v>572</v>
      </c>
      <c r="L116" s="5">
        <v>1600</v>
      </c>
      <c r="M116" s="30">
        <v>0</v>
      </c>
      <c r="N116" s="30">
        <v>0.15</v>
      </c>
      <c r="O116" s="5" t="str">
        <f t="shared" si="14"/>
        <v>Omit</v>
      </c>
      <c r="U116" s="77"/>
      <c r="W116" s="29"/>
      <c r="X116" s="29"/>
      <c r="Y116" s="5" t="str">
        <f t="shared" si="15"/>
        <v/>
      </c>
      <c r="Z116" s="5"/>
      <c r="AA116" s="5" t="str">
        <f t="shared" si="12"/>
        <v/>
      </c>
      <c r="AC116" s="77"/>
      <c r="AD116" s="5"/>
      <c r="AE116" s="30"/>
      <c r="AF116" s="30"/>
      <c r="AG116" s="5" t="str">
        <f t="shared" si="16"/>
        <v/>
      </c>
    </row>
    <row r="117" spans="3:33" x14ac:dyDescent="0.2">
      <c r="C117" s="77"/>
      <c r="E117" s="29"/>
      <c r="F117" s="29"/>
      <c r="G117" s="5" t="str">
        <f t="shared" si="13"/>
        <v/>
      </c>
      <c r="H117" s="5"/>
      <c r="I117" s="5" t="str">
        <f t="shared" si="11"/>
        <v/>
      </c>
      <c r="K117" s="77"/>
      <c r="L117" s="5"/>
      <c r="M117" s="30"/>
      <c r="N117" s="30"/>
      <c r="O117" s="5" t="str">
        <f t="shared" si="14"/>
        <v/>
      </c>
      <c r="U117" s="77"/>
      <c r="W117" s="29"/>
      <c r="X117" s="29"/>
      <c r="Y117" s="5" t="str">
        <f t="shared" si="15"/>
        <v/>
      </c>
      <c r="Z117" s="5"/>
      <c r="AA117" s="5" t="str">
        <f t="shared" si="12"/>
        <v/>
      </c>
      <c r="AC117" s="77"/>
      <c r="AD117" s="5"/>
      <c r="AE117" s="30"/>
      <c r="AF117" s="30"/>
      <c r="AG117" s="5" t="str">
        <f t="shared" si="16"/>
        <v/>
      </c>
    </row>
    <row r="118" spans="3:33" x14ac:dyDescent="0.2">
      <c r="C118" s="77"/>
      <c r="E118" s="29"/>
      <c r="F118" s="29"/>
      <c r="G118" s="5" t="str">
        <f t="shared" si="13"/>
        <v/>
      </c>
      <c r="H118" s="5"/>
      <c r="I118" s="5" t="str">
        <f t="shared" si="11"/>
        <v/>
      </c>
      <c r="K118" s="77"/>
      <c r="L118" s="5"/>
      <c r="M118" s="30"/>
      <c r="N118" s="30"/>
      <c r="O118" s="5" t="str">
        <f t="shared" si="14"/>
        <v/>
      </c>
      <c r="U118" s="77"/>
      <c r="W118" s="29"/>
      <c r="X118" s="29"/>
      <c r="Y118" s="5" t="str">
        <f t="shared" si="15"/>
        <v/>
      </c>
      <c r="Z118" s="5"/>
      <c r="AA118" s="5" t="str">
        <f t="shared" si="12"/>
        <v/>
      </c>
      <c r="AC118" s="77"/>
      <c r="AD118" s="5"/>
      <c r="AE118" s="30"/>
      <c r="AF118" s="30"/>
      <c r="AG118" s="5" t="str">
        <f t="shared" si="16"/>
        <v/>
      </c>
    </row>
    <row r="119" spans="3:33" x14ac:dyDescent="0.2">
      <c r="C119" s="77"/>
      <c r="E119" s="29"/>
      <c r="F119" s="29"/>
      <c r="G119" s="5" t="str">
        <f t="shared" si="13"/>
        <v/>
      </c>
      <c r="H119" s="5"/>
      <c r="I119" s="5" t="str">
        <f t="shared" si="11"/>
        <v/>
      </c>
      <c r="K119" s="77"/>
      <c r="L119" s="5"/>
      <c r="M119" s="30"/>
      <c r="N119" s="30"/>
      <c r="O119" s="5" t="str">
        <f t="shared" si="14"/>
        <v/>
      </c>
      <c r="U119" s="77"/>
      <c r="W119" s="29"/>
      <c r="X119" s="29"/>
      <c r="Y119" s="5" t="str">
        <f t="shared" si="15"/>
        <v/>
      </c>
      <c r="Z119" s="5"/>
      <c r="AA119" s="5" t="str">
        <f t="shared" si="12"/>
        <v/>
      </c>
      <c r="AC119" s="77"/>
      <c r="AD119" s="5"/>
      <c r="AE119" s="30"/>
      <c r="AF119" s="30"/>
      <c r="AG119" s="5" t="str">
        <f t="shared" si="16"/>
        <v/>
      </c>
    </row>
    <row r="120" spans="3:33" x14ac:dyDescent="0.2">
      <c r="C120" s="77"/>
      <c r="E120" s="29"/>
      <c r="F120" s="29"/>
      <c r="G120" s="5" t="str">
        <f t="shared" si="13"/>
        <v/>
      </c>
      <c r="H120" s="5"/>
      <c r="I120" s="5" t="str">
        <f t="shared" si="11"/>
        <v/>
      </c>
      <c r="K120" s="77"/>
      <c r="L120" s="5"/>
      <c r="M120" s="30"/>
      <c r="N120" s="30"/>
      <c r="O120" s="5" t="str">
        <f t="shared" si="14"/>
        <v/>
      </c>
      <c r="U120" s="77"/>
      <c r="W120" s="29"/>
      <c r="X120" s="29"/>
      <c r="Y120" s="5" t="str">
        <f t="shared" si="15"/>
        <v/>
      </c>
      <c r="Z120" s="5"/>
      <c r="AA120" s="5" t="str">
        <f t="shared" si="12"/>
        <v/>
      </c>
      <c r="AC120" s="77"/>
      <c r="AD120" s="5"/>
      <c r="AE120" s="30"/>
      <c r="AF120" s="30"/>
      <c r="AG120" s="5" t="str">
        <f t="shared" si="16"/>
        <v/>
      </c>
    </row>
    <row r="121" spans="3:33" x14ac:dyDescent="0.2">
      <c r="C121" s="77"/>
      <c r="E121" s="29"/>
      <c r="F121" s="29"/>
      <c r="G121" s="5" t="str">
        <f t="shared" si="13"/>
        <v/>
      </c>
      <c r="H121" s="5"/>
      <c r="I121" s="5" t="str">
        <f t="shared" si="11"/>
        <v/>
      </c>
      <c r="K121" s="77"/>
      <c r="L121" s="5"/>
      <c r="M121" s="30"/>
      <c r="N121" s="30"/>
      <c r="O121" s="5" t="str">
        <f t="shared" si="14"/>
        <v/>
      </c>
      <c r="U121" s="77"/>
      <c r="W121" s="29"/>
      <c r="X121" s="29"/>
      <c r="Y121" s="5" t="str">
        <f t="shared" si="15"/>
        <v/>
      </c>
      <c r="Z121" s="5"/>
      <c r="AA121" s="5" t="str">
        <f t="shared" si="12"/>
        <v/>
      </c>
      <c r="AC121" s="77"/>
      <c r="AD121" s="5"/>
      <c r="AE121" s="30"/>
      <c r="AF121" s="30"/>
      <c r="AG121" s="5" t="str">
        <f t="shared" si="16"/>
        <v/>
      </c>
    </row>
    <row r="122" spans="3:33" x14ac:dyDescent="0.2">
      <c r="C122" s="77"/>
      <c r="E122" s="29"/>
      <c r="F122" s="29"/>
      <c r="G122" s="5" t="str">
        <f t="shared" si="13"/>
        <v/>
      </c>
      <c r="H122" s="5"/>
      <c r="I122" s="5" t="str">
        <f t="shared" si="11"/>
        <v/>
      </c>
      <c r="K122" s="77"/>
      <c r="L122" s="5"/>
      <c r="M122" s="30"/>
      <c r="N122" s="30"/>
      <c r="O122" s="5" t="str">
        <f t="shared" si="14"/>
        <v/>
      </c>
      <c r="U122" s="77"/>
      <c r="W122" s="29"/>
      <c r="X122" s="29"/>
      <c r="Y122" s="5" t="str">
        <f t="shared" si="15"/>
        <v/>
      </c>
      <c r="Z122" s="5"/>
      <c r="AA122" s="5" t="str">
        <f t="shared" si="12"/>
        <v/>
      </c>
      <c r="AC122" s="77"/>
      <c r="AD122" s="5"/>
      <c r="AE122" s="30"/>
      <c r="AF122" s="30"/>
      <c r="AG122" s="5" t="str">
        <f t="shared" si="16"/>
        <v/>
      </c>
    </row>
    <row r="123" spans="3:33" x14ac:dyDescent="0.2">
      <c r="C123" s="77"/>
      <c r="E123" s="29"/>
      <c r="F123" s="29"/>
      <c r="G123" s="5" t="str">
        <f t="shared" si="13"/>
        <v/>
      </c>
      <c r="H123" s="5"/>
      <c r="I123" s="5" t="str">
        <f t="shared" si="11"/>
        <v/>
      </c>
      <c r="K123" s="77"/>
      <c r="L123" s="5"/>
      <c r="M123" s="30"/>
      <c r="N123" s="30"/>
      <c r="O123" s="5" t="str">
        <f t="shared" si="14"/>
        <v/>
      </c>
      <c r="U123" s="77"/>
      <c r="W123" s="29"/>
      <c r="X123" s="29"/>
      <c r="Y123" s="5" t="str">
        <f t="shared" si="15"/>
        <v/>
      </c>
      <c r="Z123" s="5"/>
      <c r="AA123" s="5" t="str">
        <f t="shared" si="12"/>
        <v/>
      </c>
      <c r="AC123" s="77"/>
      <c r="AD123" s="5"/>
      <c r="AE123" s="30"/>
      <c r="AF123" s="30"/>
      <c r="AG123" s="5" t="str">
        <f t="shared" si="16"/>
        <v/>
      </c>
    </row>
    <row r="124" spans="3:33" x14ac:dyDescent="0.2">
      <c r="C124" s="77"/>
      <c r="E124" s="29"/>
      <c r="F124" s="29"/>
      <c r="G124" s="5" t="str">
        <f t="shared" si="13"/>
        <v/>
      </c>
      <c r="H124" s="5"/>
      <c r="I124" s="5" t="str">
        <f t="shared" si="11"/>
        <v/>
      </c>
      <c r="K124" s="77"/>
      <c r="L124" s="5"/>
      <c r="M124" s="30"/>
      <c r="N124" s="30"/>
      <c r="O124" s="5" t="str">
        <f t="shared" si="14"/>
        <v/>
      </c>
      <c r="U124" s="77"/>
      <c r="W124" s="29"/>
      <c r="X124" s="29"/>
      <c r="Y124" s="5" t="str">
        <f t="shared" si="15"/>
        <v/>
      </c>
      <c r="Z124" s="5"/>
      <c r="AA124" s="5" t="str">
        <f t="shared" si="12"/>
        <v/>
      </c>
      <c r="AC124" s="77"/>
      <c r="AD124" s="5"/>
      <c r="AE124" s="30"/>
      <c r="AF124" s="30"/>
      <c r="AG124" s="5" t="str">
        <f t="shared" si="16"/>
        <v/>
      </c>
    </row>
    <row r="125" spans="3:33" x14ac:dyDescent="0.2">
      <c r="C125" s="77"/>
      <c r="E125" s="29"/>
      <c r="F125" s="29"/>
      <c r="G125" s="5" t="str">
        <f t="shared" si="13"/>
        <v/>
      </c>
      <c r="H125" s="5"/>
      <c r="I125" s="5" t="str">
        <f t="shared" si="11"/>
        <v/>
      </c>
      <c r="K125" s="77"/>
      <c r="L125" s="5"/>
      <c r="M125" s="30"/>
      <c r="N125" s="30"/>
      <c r="O125" s="5" t="str">
        <f t="shared" si="14"/>
        <v/>
      </c>
      <c r="U125" s="77"/>
      <c r="W125" s="29"/>
      <c r="X125" s="29"/>
      <c r="Y125" s="5" t="str">
        <f t="shared" si="15"/>
        <v/>
      </c>
      <c r="Z125" s="5"/>
      <c r="AA125" s="5" t="str">
        <f t="shared" si="12"/>
        <v/>
      </c>
      <c r="AC125" s="77"/>
      <c r="AD125" s="5"/>
      <c r="AE125" s="30"/>
      <c r="AF125" s="30"/>
      <c r="AG125" s="5" t="str">
        <f t="shared" si="16"/>
        <v/>
      </c>
    </row>
    <row r="126" spans="3:33" x14ac:dyDescent="0.2">
      <c r="C126" s="77"/>
      <c r="E126" s="29"/>
      <c r="F126" s="29"/>
      <c r="G126" s="5" t="str">
        <f t="shared" si="13"/>
        <v/>
      </c>
      <c r="H126" s="5"/>
      <c r="I126" s="5" t="str">
        <f t="shared" si="11"/>
        <v/>
      </c>
      <c r="K126" s="77"/>
      <c r="L126" s="5"/>
      <c r="M126" s="30"/>
      <c r="N126" s="30"/>
      <c r="O126" s="5" t="str">
        <f t="shared" si="14"/>
        <v/>
      </c>
      <c r="U126" s="77"/>
      <c r="W126" s="29"/>
      <c r="X126" s="29"/>
      <c r="Y126" s="5" t="str">
        <f t="shared" si="15"/>
        <v/>
      </c>
      <c r="Z126" s="5"/>
      <c r="AA126" s="5" t="str">
        <f t="shared" si="12"/>
        <v/>
      </c>
      <c r="AC126" s="77"/>
      <c r="AD126" s="5"/>
      <c r="AE126" s="30"/>
      <c r="AF126" s="30"/>
      <c r="AG126" s="5" t="str">
        <f t="shared" si="16"/>
        <v/>
      </c>
    </row>
    <row r="127" spans="3:33" x14ac:dyDescent="0.2">
      <c r="C127" s="77"/>
      <c r="E127" s="29"/>
      <c r="F127" s="29"/>
      <c r="G127" s="5" t="str">
        <f t="shared" si="13"/>
        <v/>
      </c>
      <c r="H127" s="5"/>
      <c r="I127" s="5" t="str">
        <f t="shared" si="11"/>
        <v/>
      </c>
      <c r="K127" s="77"/>
      <c r="L127" s="5"/>
      <c r="M127" s="30"/>
      <c r="N127" s="30"/>
      <c r="O127" s="5" t="str">
        <f t="shared" si="14"/>
        <v/>
      </c>
      <c r="U127" s="77"/>
      <c r="W127" s="29"/>
      <c r="X127" s="29"/>
      <c r="Y127" s="5" t="str">
        <f t="shared" si="15"/>
        <v/>
      </c>
      <c r="Z127" s="5"/>
      <c r="AA127" s="5" t="str">
        <f t="shared" si="12"/>
        <v/>
      </c>
      <c r="AC127" s="77"/>
      <c r="AD127" s="5"/>
      <c r="AE127" s="30"/>
      <c r="AF127" s="30"/>
      <c r="AG127" s="5" t="str">
        <f t="shared" si="16"/>
        <v/>
      </c>
    </row>
    <row r="128" spans="3:33" x14ac:dyDescent="0.2">
      <c r="C128" s="77"/>
      <c r="E128" s="29"/>
      <c r="F128" s="29"/>
      <c r="G128" s="5" t="str">
        <f t="shared" si="13"/>
        <v/>
      </c>
      <c r="H128" s="5"/>
      <c r="I128" s="5" t="str">
        <f t="shared" si="11"/>
        <v/>
      </c>
      <c r="K128" s="77"/>
      <c r="L128" s="5"/>
      <c r="M128" s="30"/>
      <c r="N128" s="30"/>
      <c r="O128" s="5" t="str">
        <f t="shared" si="14"/>
        <v/>
      </c>
      <c r="U128" s="77"/>
      <c r="W128" s="29"/>
      <c r="X128" s="29"/>
      <c r="Y128" s="5" t="str">
        <f t="shared" si="15"/>
        <v/>
      </c>
      <c r="Z128" s="5"/>
      <c r="AA128" s="5" t="str">
        <f t="shared" si="12"/>
        <v/>
      </c>
      <c r="AC128" s="77"/>
      <c r="AD128" s="5"/>
      <c r="AE128" s="30"/>
      <c r="AF128" s="30"/>
      <c r="AG128" s="5" t="str">
        <f t="shared" si="16"/>
        <v/>
      </c>
    </row>
    <row r="129" spans="3:33" x14ac:dyDescent="0.2">
      <c r="C129" s="77"/>
      <c r="E129" s="29"/>
      <c r="F129" s="29"/>
      <c r="G129" s="5" t="str">
        <f t="shared" si="13"/>
        <v/>
      </c>
      <c r="H129" s="5"/>
      <c r="I129" s="5" t="str">
        <f t="shared" si="11"/>
        <v/>
      </c>
      <c r="K129" s="77"/>
      <c r="L129" s="5"/>
      <c r="M129" s="30"/>
      <c r="N129" s="30"/>
      <c r="O129" s="5" t="str">
        <f t="shared" si="14"/>
        <v/>
      </c>
      <c r="U129" s="77"/>
      <c r="W129" s="29"/>
      <c r="X129" s="29"/>
      <c r="Y129" s="5" t="str">
        <f t="shared" si="15"/>
        <v/>
      </c>
      <c r="Z129" s="5"/>
      <c r="AA129" s="5" t="str">
        <f t="shared" si="12"/>
        <v/>
      </c>
      <c r="AC129" s="77"/>
      <c r="AD129" s="5"/>
      <c r="AE129" s="30"/>
      <c r="AF129" s="30"/>
      <c r="AG129" s="5" t="str">
        <f t="shared" si="16"/>
        <v/>
      </c>
    </row>
    <row r="130" spans="3:33" x14ac:dyDescent="0.2">
      <c r="C130" s="77"/>
      <c r="E130" s="29"/>
      <c r="F130" s="29"/>
      <c r="G130" s="5" t="str">
        <f t="shared" si="13"/>
        <v/>
      </c>
      <c r="H130" s="5"/>
      <c r="I130" s="5" t="str">
        <f t="shared" si="11"/>
        <v/>
      </c>
      <c r="K130" s="77"/>
      <c r="L130" s="5"/>
      <c r="M130" s="30"/>
      <c r="N130" s="30"/>
      <c r="O130" s="5" t="str">
        <f t="shared" si="14"/>
        <v/>
      </c>
      <c r="U130" s="77"/>
      <c r="W130" s="29"/>
      <c r="X130" s="29"/>
      <c r="Y130" s="5" t="str">
        <f t="shared" si="15"/>
        <v/>
      </c>
      <c r="Z130" s="5"/>
      <c r="AA130" s="5" t="str">
        <f t="shared" si="12"/>
        <v/>
      </c>
      <c r="AC130" s="77"/>
      <c r="AD130" s="5"/>
      <c r="AE130" s="30"/>
      <c r="AF130" s="30"/>
      <c r="AG130" s="5" t="str">
        <f t="shared" si="16"/>
        <v/>
      </c>
    </row>
    <row r="131" spans="3:33" x14ac:dyDescent="0.2">
      <c r="C131" s="77"/>
      <c r="E131" s="29"/>
      <c r="F131" s="29"/>
      <c r="G131" s="5" t="str">
        <f t="shared" si="13"/>
        <v/>
      </c>
      <c r="H131" s="5"/>
      <c r="I131" s="5" t="str">
        <f t="shared" si="11"/>
        <v/>
      </c>
      <c r="K131" s="77"/>
      <c r="L131" s="5"/>
      <c r="M131" s="30"/>
      <c r="N131" s="30"/>
      <c r="O131" s="5" t="str">
        <f t="shared" si="14"/>
        <v/>
      </c>
      <c r="U131" s="77"/>
      <c r="W131" s="29"/>
      <c r="X131" s="29"/>
      <c r="Y131" s="5" t="str">
        <f t="shared" si="15"/>
        <v/>
      </c>
      <c r="Z131" s="5"/>
      <c r="AA131" s="5" t="str">
        <f t="shared" si="12"/>
        <v/>
      </c>
      <c r="AC131" s="77"/>
      <c r="AD131" s="5"/>
      <c r="AE131" s="30"/>
      <c r="AF131" s="30"/>
      <c r="AG131" s="5" t="str">
        <f t="shared" si="16"/>
        <v/>
      </c>
    </row>
    <row r="132" spans="3:33" x14ac:dyDescent="0.2">
      <c r="C132" s="77"/>
      <c r="E132" s="29"/>
      <c r="F132" s="29"/>
      <c r="G132" s="5" t="str">
        <f t="shared" si="13"/>
        <v/>
      </c>
      <c r="H132" s="5"/>
      <c r="I132" s="5" t="str">
        <f t="shared" si="11"/>
        <v/>
      </c>
      <c r="K132" s="77"/>
      <c r="L132" s="5"/>
      <c r="M132" s="30"/>
      <c r="N132" s="30"/>
      <c r="O132" s="5" t="str">
        <f t="shared" si="14"/>
        <v/>
      </c>
      <c r="U132" s="77"/>
      <c r="W132" s="29"/>
      <c r="X132" s="29"/>
      <c r="Y132" s="5" t="str">
        <f t="shared" si="15"/>
        <v/>
      </c>
      <c r="Z132" s="5"/>
      <c r="AA132" s="5" t="str">
        <f t="shared" si="12"/>
        <v/>
      </c>
      <c r="AC132" s="77"/>
      <c r="AD132" s="5"/>
      <c r="AE132" s="30"/>
      <c r="AF132" s="30"/>
      <c r="AG132" s="5" t="str">
        <f t="shared" si="16"/>
        <v/>
      </c>
    </row>
    <row r="133" spans="3:33" x14ac:dyDescent="0.2">
      <c r="C133" s="77"/>
      <c r="E133" s="29"/>
      <c r="F133" s="29"/>
      <c r="G133" s="5" t="str">
        <f t="shared" si="13"/>
        <v/>
      </c>
      <c r="H133" s="5"/>
      <c r="I133" s="5" t="str">
        <f t="shared" si="11"/>
        <v/>
      </c>
      <c r="K133" s="77"/>
      <c r="L133" s="5"/>
      <c r="M133" s="30"/>
      <c r="N133" s="30"/>
      <c r="O133" s="5" t="str">
        <f t="shared" si="14"/>
        <v/>
      </c>
      <c r="U133" s="77"/>
      <c r="W133" s="29"/>
      <c r="X133" s="29"/>
      <c r="Y133" s="5" t="str">
        <f t="shared" si="15"/>
        <v/>
      </c>
      <c r="Z133" s="5"/>
      <c r="AA133" s="5" t="str">
        <f t="shared" si="12"/>
        <v/>
      </c>
      <c r="AC133" s="77"/>
      <c r="AD133" s="5"/>
      <c r="AE133" s="30"/>
      <c r="AF133" s="30"/>
      <c r="AG133" s="5" t="str">
        <f t="shared" si="16"/>
        <v/>
      </c>
    </row>
    <row r="134" spans="3:33" x14ac:dyDescent="0.2">
      <c r="C134" s="77"/>
      <c r="E134" s="29"/>
      <c r="F134" s="29"/>
      <c r="G134" s="5" t="str">
        <f t="shared" si="13"/>
        <v/>
      </c>
      <c r="H134" s="5"/>
      <c r="I134" s="5" t="str">
        <f t="shared" si="11"/>
        <v/>
      </c>
      <c r="K134" s="77"/>
      <c r="L134" s="5"/>
      <c r="M134" s="30"/>
      <c r="N134" s="30"/>
      <c r="O134" s="5" t="str">
        <f t="shared" si="14"/>
        <v/>
      </c>
      <c r="U134" s="77"/>
      <c r="W134" s="29"/>
      <c r="X134" s="29"/>
      <c r="Y134" s="5" t="str">
        <f t="shared" si="15"/>
        <v/>
      </c>
      <c r="Z134" s="5"/>
      <c r="AA134" s="5" t="str">
        <f t="shared" si="12"/>
        <v/>
      </c>
      <c r="AC134" s="77"/>
      <c r="AD134" s="5"/>
      <c r="AE134" s="30"/>
      <c r="AF134" s="30"/>
      <c r="AG134" s="5" t="str">
        <f t="shared" si="16"/>
        <v/>
      </c>
    </row>
    <row r="135" spans="3:33" x14ac:dyDescent="0.2">
      <c r="C135" s="77"/>
      <c r="E135" s="29"/>
      <c r="F135" s="29"/>
      <c r="G135" s="5" t="str">
        <f t="shared" si="13"/>
        <v/>
      </c>
      <c r="H135" s="5"/>
      <c r="I135" s="5" t="str">
        <f t="shared" si="11"/>
        <v/>
      </c>
      <c r="K135" s="77"/>
      <c r="L135" s="5"/>
      <c r="M135" s="30"/>
      <c r="N135" s="30"/>
      <c r="O135" s="5" t="str">
        <f t="shared" si="14"/>
        <v/>
      </c>
      <c r="U135" s="77"/>
      <c r="W135" s="29"/>
      <c r="X135" s="29"/>
      <c r="Y135" s="5" t="str">
        <f t="shared" si="15"/>
        <v/>
      </c>
      <c r="Z135" s="5"/>
      <c r="AA135" s="5" t="str">
        <f t="shared" si="12"/>
        <v/>
      </c>
      <c r="AC135" s="77"/>
      <c r="AD135" s="5"/>
      <c r="AE135" s="30"/>
      <c r="AF135" s="30"/>
      <c r="AG135" s="5" t="str">
        <f t="shared" si="16"/>
        <v/>
      </c>
    </row>
    <row r="136" spans="3:33" x14ac:dyDescent="0.2">
      <c r="C136" s="77"/>
      <c r="E136" s="29"/>
      <c r="F136" s="29"/>
      <c r="G136" s="5" t="str">
        <f t="shared" si="13"/>
        <v/>
      </c>
      <c r="H136" s="5"/>
      <c r="I136" s="5" t="str">
        <f t="shared" si="11"/>
        <v/>
      </c>
      <c r="K136" s="77"/>
      <c r="L136" s="5"/>
      <c r="M136" s="30"/>
      <c r="N136" s="30"/>
      <c r="O136" s="5" t="str">
        <f t="shared" si="14"/>
        <v/>
      </c>
      <c r="U136" s="77"/>
      <c r="W136" s="29"/>
      <c r="X136" s="29"/>
      <c r="Y136" s="5" t="str">
        <f t="shared" si="15"/>
        <v/>
      </c>
      <c r="Z136" s="5"/>
      <c r="AA136" s="5" t="str">
        <f t="shared" si="12"/>
        <v/>
      </c>
      <c r="AC136" s="77"/>
      <c r="AD136" s="5"/>
      <c r="AE136" s="30"/>
      <c r="AF136" s="30"/>
      <c r="AG136" s="5" t="str">
        <f t="shared" si="16"/>
        <v/>
      </c>
    </row>
    <row r="137" spans="3:33" x14ac:dyDescent="0.2">
      <c r="C137" s="77"/>
      <c r="E137" s="29"/>
      <c r="F137" s="29"/>
      <c r="G137" s="5" t="str">
        <f t="shared" si="13"/>
        <v/>
      </c>
      <c r="H137" s="5"/>
      <c r="I137" s="5" t="str">
        <f t="shared" si="11"/>
        <v/>
      </c>
      <c r="K137" s="77"/>
      <c r="L137" s="5"/>
      <c r="M137" s="30"/>
      <c r="N137" s="30"/>
      <c r="O137" s="5" t="str">
        <f t="shared" si="14"/>
        <v/>
      </c>
      <c r="U137" s="77"/>
      <c r="W137" s="29"/>
      <c r="X137" s="29"/>
      <c r="Y137" s="5" t="str">
        <f t="shared" si="15"/>
        <v/>
      </c>
      <c r="Z137" s="5"/>
      <c r="AA137" s="5" t="str">
        <f t="shared" si="12"/>
        <v/>
      </c>
      <c r="AC137" s="77"/>
      <c r="AD137" s="5"/>
      <c r="AE137" s="30"/>
      <c r="AF137" s="30"/>
      <c r="AG137" s="5" t="str">
        <f t="shared" si="16"/>
        <v/>
      </c>
    </row>
    <row r="138" spans="3:33" x14ac:dyDescent="0.2">
      <c r="C138" s="77"/>
      <c r="E138" s="29"/>
      <c r="F138" s="29"/>
      <c r="G138" s="5" t="str">
        <f t="shared" si="13"/>
        <v/>
      </c>
      <c r="H138" s="5"/>
      <c r="I138" s="5" t="str">
        <f t="shared" si="11"/>
        <v/>
      </c>
      <c r="K138" s="77"/>
      <c r="L138" s="5"/>
      <c r="M138" s="30"/>
      <c r="N138" s="30"/>
      <c r="O138" s="5" t="str">
        <f t="shared" si="14"/>
        <v/>
      </c>
      <c r="U138" s="77"/>
      <c r="W138" s="29"/>
      <c r="X138" s="29"/>
      <c r="Y138" s="5" t="str">
        <f t="shared" si="15"/>
        <v/>
      </c>
      <c r="Z138" s="5"/>
      <c r="AA138" s="5" t="str">
        <f t="shared" si="12"/>
        <v/>
      </c>
      <c r="AC138" s="77"/>
      <c r="AD138" s="5"/>
      <c r="AE138" s="30"/>
      <c r="AF138" s="30"/>
      <c r="AG138" s="5" t="str">
        <f t="shared" si="16"/>
        <v/>
      </c>
    </row>
    <row r="139" spans="3:33" x14ac:dyDescent="0.2">
      <c r="C139" s="77"/>
      <c r="E139" s="29"/>
      <c r="F139" s="29"/>
      <c r="G139" s="5" t="str">
        <f t="shared" si="13"/>
        <v/>
      </c>
      <c r="H139" s="5"/>
      <c r="I139" s="5" t="str">
        <f t="shared" si="11"/>
        <v/>
      </c>
      <c r="K139" s="77"/>
      <c r="L139" s="5"/>
      <c r="M139" s="30"/>
      <c r="N139" s="30"/>
      <c r="O139" s="5" t="str">
        <f t="shared" si="14"/>
        <v/>
      </c>
      <c r="U139" s="77"/>
      <c r="W139" s="29"/>
      <c r="X139" s="29"/>
      <c r="Y139" s="5" t="str">
        <f t="shared" si="15"/>
        <v/>
      </c>
      <c r="Z139" s="5"/>
      <c r="AA139" s="5" t="str">
        <f t="shared" si="12"/>
        <v/>
      </c>
      <c r="AC139" s="77"/>
      <c r="AD139" s="5"/>
      <c r="AE139" s="30"/>
      <c r="AF139" s="30"/>
      <c r="AG139" s="5" t="str">
        <f t="shared" si="16"/>
        <v/>
      </c>
    </row>
    <row r="140" spans="3:33" x14ac:dyDescent="0.2">
      <c r="C140" s="77"/>
      <c r="E140" s="29"/>
      <c r="F140" s="29"/>
      <c r="G140" s="5" t="str">
        <f t="shared" si="13"/>
        <v/>
      </c>
      <c r="H140" s="5"/>
      <c r="I140" s="5" t="str">
        <f t="shared" si="11"/>
        <v/>
      </c>
      <c r="K140" s="77"/>
      <c r="L140" s="5"/>
      <c r="M140" s="30"/>
      <c r="N140" s="30"/>
      <c r="O140" s="5" t="str">
        <f t="shared" si="14"/>
        <v/>
      </c>
      <c r="U140" s="77"/>
      <c r="W140" s="29"/>
      <c r="X140" s="29"/>
      <c r="Y140" s="5" t="str">
        <f t="shared" si="15"/>
        <v/>
      </c>
      <c r="Z140" s="5"/>
      <c r="AA140" s="5" t="str">
        <f t="shared" si="12"/>
        <v/>
      </c>
      <c r="AC140" s="77"/>
      <c r="AD140" s="5"/>
      <c r="AE140" s="30"/>
      <c r="AF140" s="30"/>
      <c r="AG140" s="5" t="str">
        <f t="shared" si="16"/>
        <v/>
      </c>
    </row>
    <row r="141" spans="3:33" x14ac:dyDescent="0.2">
      <c r="C141" s="77"/>
      <c r="E141" s="29"/>
      <c r="F141" s="29"/>
      <c r="G141" s="5" t="str">
        <f t="shared" si="13"/>
        <v/>
      </c>
      <c r="H141" s="5"/>
      <c r="I141" s="5" t="str">
        <f t="shared" si="11"/>
        <v/>
      </c>
      <c r="K141" s="77"/>
      <c r="L141" s="5"/>
      <c r="M141" s="30"/>
      <c r="N141" s="30"/>
      <c r="O141" s="5" t="str">
        <f t="shared" si="14"/>
        <v/>
      </c>
      <c r="U141" s="77"/>
      <c r="W141" s="29"/>
      <c r="X141" s="29"/>
      <c r="Y141" s="5" t="str">
        <f t="shared" si="15"/>
        <v/>
      </c>
      <c r="Z141" s="5"/>
      <c r="AA141" s="5" t="str">
        <f t="shared" si="12"/>
        <v/>
      </c>
      <c r="AC141" s="77"/>
      <c r="AD141" s="5"/>
      <c r="AE141" s="30"/>
      <c r="AF141" s="30"/>
      <c r="AG141" s="5" t="str">
        <f t="shared" si="16"/>
        <v/>
      </c>
    </row>
    <row r="142" spans="3:33" x14ac:dyDescent="0.2">
      <c r="C142" s="77"/>
      <c r="E142" s="29"/>
      <c r="F142" s="29"/>
      <c r="G142" s="5" t="str">
        <f t="shared" si="13"/>
        <v/>
      </c>
      <c r="H142" s="5"/>
      <c r="I142" s="5" t="str">
        <f t="shared" si="11"/>
        <v/>
      </c>
      <c r="K142" s="77"/>
      <c r="L142" s="5"/>
      <c r="M142" s="30"/>
      <c r="N142" s="30"/>
      <c r="O142" s="5" t="str">
        <f t="shared" si="14"/>
        <v/>
      </c>
      <c r="U142" s="77"/>
      <c r="W142" s="29"/>
      <c r="X142" s="29"/>
      <c r="Y142" s="5" t="str">
        <f t="shared" si="15"/>
        <v/>
      </c>
      <c r="Z142" s="5"/>
      <c r="AA142" s="5" t="str">
        <f t="shared" si="12"/>
        <v/>
      </c>
      <c r="AC142" s="77"/>
      <c r="AD142" s="5"/>
      <c r="AE142" s="30"/>
      <c r="AF142" s="30"/>
      <c r="AG142" s="5" t="str">
        <f t="shared" si="16"/>
        <v/>
      </c>
    </row>
    <row r="143" spans="3:33" x14ac:dyDescent="0.2">
      <c r="C143" s="77"/>
      <c r="E143" s="29"/>
      <c r="F143" s="29"/>
      <c r="G143" s="5" t="str">
        <f t="shared" si="13"/>
        <v/>
      </c>
      <c r="H143" s="5"/>
      <c r="I143" s="5" t="str">
        <f t="shared" si="11"/>
        <v/>
      </c>
      <c r="K143" s="77"/>
      <c r="L143" s="5"/>
      <c r="M143" s="30"/>
      <c r="N143" s="30"/>
      <c r="O143" s="5" t="str">
        <f t="shared" si="14"/>
        <v/>
      </c>
      <c r="U143" s="77"/>
      <c r="W143" s="29"/>
      <c r="X143" s="29"/>
      <c r="Y143" s="5" t="str">
        <f t="shared" si="15"/>
        <v/>
      </c>
      <c r="Z143" s="5"/>
      <c r="AA143" s="5" t="str">
        <f t="shared" si="12"/>
        <v/>
      </c>
      <c r="AC143" s="77"/>
      <c r="AD143" s="5"/>
      <c r="AE143" s="30"/>
      <c r="AF143" s="30"/>
      <c r="AG143" s="5" t="str">
        <f t="shared" si="16"/>
        <v/>
      </c>
    </row>
    <row r="144" spans="3:33" x14ac:dyDescent="0.2">
      <c r="C144" s="77"/>
      <c r="E144" s="29"/>
      <c r="F144" s="29"/>
      <c r="G144" s="5" t="str">
        <f t="shared" si="13"/>
        <v/>
      </c>
      <c r="H144" s="5"/>
      <c r="I144" s="5" t="str">
        <f t="shared" si="11"/>
        <v/>
      </c>
      <c r="K144" s="77"/>
      <c r="L144" s="5"/>
      <c r="M144" s="30"/>
      <c r="N144" s="30"/>
      <c r="O144" s="5" t="str">
        <f t="shared" si="14"/>
        <v/>
      </c>
      <c r="U144" s="77"/>
      <c r="W144" s="29"/>
      <c r="X144" s="29"/>
      <c r="Y144" s="5" t="str">
        <f t="shared" si="15"/>
        <v/>
      </c>
      <c r="Z144" s="5"/>
      <c r="AA144" s="5" t="str">
        <f t="shared" si="12"/>
        <v/>
      </c>
      <c r="AC144" s="77"/>
      <c r="AD144" s="5"/>
      <c r="AE144" s="30"/>
      <c r="AF144" s="30"/>
      <c r="AG144" s="5" t="str">
        <f t="shared" si="16"/>
        <v/>
      </c>
    </row>
    <row r="145" spans="3:33" x14ac:dyDescent="0.2">
      <c r="C145" s="77"/>
      <c r="E145" s="29"/>
      <c r="F145" s="29"/>
      <c r="G145" s="5" t="str">
        <f t="shared" si="13"/>
        <v/>
      </c>
      <c r="H145" s="5"/>
      <c r="I145" s="5" t="str">
        <f t="shared" si="11"/>
        <v/>
      </c>
      <c r="K145" s="77"/>
      <c r="L145" s="5"/>
      <c r="M145" s="30"/>
      <c r="N145" s="30"/>
      <c r="O145" s="5" t="str">
        <f t="shared" si="14"/>
        <v/>
      </c>
      <c r="U145" s="77"/>
      <c r="W145" s="29"/>
      <c r="X145" s="29"/>
      <c r="Y145" s="5" t="str">
        <f t="shared" si="15"/>
        <v/>
      </c>
      <c r="Z145" s="5"/>
      <c r="AA145" s="5" t="str">
        <f t="shared" si="12"/>
        <v/>
      </c>
      <c r="AC145" s="77"/>
      <c r="AD145" s="5"/>
      <c r="AE145" s="30"/>
      <c r="AF145" s="30"/>
      <c r="AG145" s="5" t="str">
        <f t="shared" si="16"/>
        <v/>
      </c>
    </row>
    <row r="146" spans="3:33" x14ac:dyDescent="0.2">
      <c r="C146" s="77"/>
      <c r="E146" s="29"/>
      <c r="F146" s="29"/>
      <c r="G146" s="5" t="str">
        <f t="shared" si="13"/>
        <v/>
      </c>
      <c r="H146" s="5"/>
      <c r="I146" s="5" t="str">
        <f t="shared" ref="I146:I209" si="17">IF(L146="","",IFERROR(ABS(VLOOKUP(L146,$L$17:$O$271,4,FALSE)-VLOOKUP(L146,$D$17:$G$271,4,FALSE)),""))</f>
        <v/>
      </c>
      <c r="K146" s="77"/>
      <c r="L146" s="5"/>
      <c r="M146" s="30"/>
      <c r="N146" s="30"/>
      <c r="O146" s="5" t="str">
        <f t="shared" si="14"/>
        <v/>
      </c>
      <c r="U146" s="77"/>
      <c r="W146" s="29"/>
      <c r="X146" s="29"/>
      <c r="Y146" s="5" t="str">
        <f t="shared" si="15"/>
        <v/>
      </c>
      <c r="Z146" s="5"/>
      <c r="AA146" s="5" t="str">
        <f t="shared" ref="AA146:AA209" si="18">IF(AD146="","",IFERROR(ABS(VLOOKUP(AD146,$L$17:$O$271,4,FALSE)-VLOOKUP(AD146,$D$17:$G$271,4,FALSE)),""))</f>
        <v/>
      </c>
      <c r="AC146" s="77"/>
      <c r="AD146" s="5"/>
      <c r="AE146" s="30"/>
      <c r="AF146" s="30"/>
      <c r="AG146" s="5" t="str">
        <f t="shared" si="16"/>
        <v/>
      </c>
    </row>
    <row r="147" spans="3:33" x14ac:dyDescent="0.2">
      <c r="C147" s="77"/>
      <c r="E147" s="29"/>
      <c r="F147" s="29"/>
      <c r="G147" s="5" t="str">
        <f t="shared" si="13"/>
        <v/>
      </c>
      <c r="H147" s="5"/>
      <c r="I147" s="5" t="str">
        <f t="shared" si="17"/>
        <v/>
      </c>
      <c r="K147" s="77"/>
      <c r="L147" s="5"/>
      <c r="M147" s="30"/>
      <c r="N147" s="30"/>
      <c r="O147" s="5" t="str">
        <f t="shared" si="14"/>
        <v/>
      </c>
      <c r="U147" s="77"/>
      <c r="W147" s="29"/>
      <c r="X147" s="29"/>
      <c r="Y147" s="5" t="str">
        <f t="shared" si="15"/>
        <v/>
      </c>
      <c r="Z147" s="5"/>
      <c r="AA147" s="5" t="str">
        <f t="shared" si="18"/>
        <v/>
      </c>
      <c r="AC147" s="77"/>
      <c r="AD147" s="5"/>
      <c r="AE147" s="30"/>
      <c r="AF147" s="30"/>
      <c r="AG147" s="5" t="str">
        <f t="shared" si="16"/>
        <v/>
      </c>
    </row>
    <row r="148" spans="3:33" x14ac:dyDescent="0.2">
      <c r="C148" s="77"/>
      <c r="E148" s="29"/>
      <c r="F148" s="29"/>
      <c r="G148" s="5" t="str">
        <f t="shared" ref="G148:G211" si="19">IF(C148="","",IF(OR(G147="KILL",G147=""),"",IF(COUNTIF(E146:E148, 0) = 2, "Kill",IF(E148&gt;0,(E148+F148)/2,"Omit"))))</f>
        <v/>
      </c>
      <c r="H148" s="5"/>
      <c r="I148" s="5" t="str">
        <f t="shared" si="17"/>
        <v/>
      </c>
      <c r="K148" s="77"/>
      <c r="L148" s="5"/>
      <c r="M148" s="30"/>
      <c r="N148" s="30"/>
      <c r="O148" s="5" t="str">
        <f t="shared" ref="O148:O211" si="20">IF(K148="","",IF(OR(O147="KILL",O147=""),"",IF(COUNTIF(M146:M148, 0) = 2, "Kill",IF(M148&gt;0,(M148+N148)/2,"Omit"))))</f>
        <v/>
      </c>
      <c r="U148" s="77"/>
      <c r="W148" s="29"/>
      <c r="X148" s="29"/>
      <c r="Y148" s="5" t="str">
        <f t="shared" ref="Y148:Y211" si="21">IF(U148="","",IF(OR(Y147="KILL",Y147=""),"",IF(COUNTIF(W146:W148, 0) = 2, "Kill",IF(W148&gt;0,(W148+X148)/2,"Omit"))))</f>
        <v/>
      </c>
      <c r="Z148" s="5"/>
      <c r="AA148" s="5" t="str">
        <f t="shared" si="18"/>
        <v/>
      </c>
      <c r="AC148" s="77"/>
      <c r="AD148" s="5"/>
      <c r="AE148" s="30"/>
      <c r="AF148" s="30"/>
      <c r="AG148" s="5" t="str">
        <f t="shared" ref="AG148:AG211" si="22">IF(AC148="","",IF(OR(AG147="KILL",AG147=""),"",IF(COUNTIF(AE146:AE148, 0) = 2, "Kill",IF(AE148&gt;0,(AE148+AF148)/2,"Omit"))))</f>
        <v/>
      </c>
    </row>
    <row r="149" spans="3:33" x14ac:dyDescent="0.2">
      <c r="C149" s="77"/>
      <c r="E149" s="29"/>
      <c r="F149" s="29"/>
      <c r="G149" s="5" t="str">
        <f t="shared" si="19"/>
        <v/>
      </c>
      <c r="H149" s="5"/>
      <c r="I149" s="5" t="str">
        <f t="shared" si="17"/>
        <v/>
      </c>
      <c r="K149" s="77"/>
      <c r="L149" s="5"/>
      <c r="M149" s="30"/>
      <c r="N149" s="30"/>
      <c r="O149" s="5" t="str">
        <f t="shared" si="20"/>
        <v/>
      </c>
      <c r="U149" s="77"/>
      <c r="W149" s="29"/>
      <c r="X149" s="29"/>
      <c r="Y149" s="5" t="str">
        <f t="shared" si="21"/>
        <v/>
      </c>
      <c r="Z149" s="5"/>
      <c r="AA149" s="5" t="str">
        <f t="shared" si="18"/>
        <v/>
      </c>
      <c r="AC149" s="77"/>
      <c r="AD149" s="5"/>
      <c r="AE149" s="30"/>
      <c r="AF149" s="30"/>
      <c r="AG149" s="5" t="str">
        <f t="shared" si="22"/>
        <v/>
      </c>
    </row>
    <row r="150" spans="3:33" x14ac:dyDescent="0.2">
      <c r="C150" s="77"/>
      <c r="E150" s="29"/>
      <c r="F150" s="29"/>
      <c r="G150" s="5" t="str">
        <f t="shared" si="19"/>
        <v/>
      </c>
      <c r="H150" s="5"/>
      <c r="I150" s="5" t="str">
        <f t="shared" si="17"/>
        <v/>
      </c>
      <c r="K150" s="77"/>
      <c r="L150" s="5"/>
      <c r="M150" s="30"/>
      <c r="N150" s="30"/>
      <c r="O150" s="5" t="str">
        <f t="shared" si="20"/>
        <v/>
      </c>
      <c r="U150" s="77"/>
      <c r="W150" s="29"/>
      <c r="X150" s="29"/>
      <c r="Y150" s="5" t="str">
        <f t="shared" si="21"/>
        <v/>
      </c>
      <c r="Z150" s="5"/>
      <c r="AA150" s="5" t="str">
        <f t="shared" si="18"/>
        <v/>
      </c>
      <c r="AC150" s="77"/>
      <c r="AD150" s="5"/>
      <c r="AE150" s="30"/>
      <c r="AF150" s="30"/>
      <c r="AG150" s="5" t="str">
        <f t="shared" si="22"/>
        <v/>
      </c>
    </row>
    <row r="151" spans="3:33" x14ac:dyDescent="0.2">
      <c r="C151" s="77"/>
      <c r="E151" s="29"/>
      <c r="F151" s="29"/>
      <c r="G151" s="5" t="str">
        <f t="shared" si="19"/>
        <v/>
      </c>
      <c r="H151" s="5"/>
      <c r="I151" s="5" t="str">
        <f t="shared" si="17"/>
        <v/>
      </c>
      <c r="K151" s="77"/>
      <c r="L151" s="5"/>
      <c r="M151" s="30"/>
      <c r="N151" s="30"/>
      <c r="O151" s="5" t="str">
        <f t="shared" si="20"/>
        <v/>
      </c>
      <c r="U151" s="77"/>
      <c r="W151" s="29"/>
      <c r="X151" s="29"/>
      <c r="Y151" s="5" t="str">
        <f t="shared" si="21"/>
        <v/>
      </c>
      <c r="Z151" s="5"/>
      <c r="AA151" s="5" t="str">
        <f t="shared" si="18"/>
        <v/>
      </c>
      <c r="AC151" s="77"/>
      <c r="AD151" s="5"/>
      <c r="AE151" s="30"/>
      <c r="AF151" s="30"/>
      <c r="AG151" s="5" t="str">
        <f t="shared" si="22"/>
        <v/>
      </c>
    </row>
    <row r="152" spans="3:33" x14ac:dyDescent="0.2">
      <c r="C152" s="77"/>
      <c r="E152" s="29"/>
      <c r="F152" s="29"/>
      <c r="G152" s="5" t="str">
        <f t="shared" si="19"/>
        <v/>
      </c>
      <c r="H152" s="5"/>
      <c r="I152" s="5" t="str">
        <f t="shared" si="17"/>
        <v/>
      </c>
      <c r="K152" s="77"/>
      <c r="L152" s="5"/>
      <c r="M152" s="30"/>
      <c r="N152" s="30"/>
      <c r="O152" s="5" t="str">
        <f t="shared" si="20"/>
        <v/>
      </c>
      <c r="U152" s="77"/>
      <c r="W152" s="29"/>
      <c r="X152" s="29"/>
      <c r="Y152" s="5" t="str">
        <f t="shared" si="21"/>
        <v/>
      </c>
      <c r="Z152" s="5"/>
      <c r="AA152" s="5" t="str">
        <f t="shared" si="18"/>
        <v/>
      </c>
      <c r="AC152" s="77"/>
      <c r="AD152" s="5"/>
      <c r="AE152" s="30"/>
      <c r="AF152" s="30"/>
      <c r="AG152" s="5" t="str">
        <f t="shared" si="22"/>
        <v/>
      </c>
    </row>
    <row r="153" spans="3:33" x14ac:dyDescent="0.2">
      <c r="C153" s="77"/>
      <c r="E153" s="29"/>
      <c r="F153" s="29"/>
      <c r="G153" s="5" t="str">
        <f t="shared" si="19"/>
        <v/>
      </c>
      <c r="H153" s="5"/>
      <c r="I153" s="5" t="str">
        <f t="shared" si="17"/>
        <v/>
      </c>
      <c r="K153" s="77"/>
      <c r="L153" s="5"/>
      <c r="M153" s="30"/>
      <c r="N153" s="30"/>
      <c r="O153" s="5" t="str">
        <f t="shared" si="20"/>
        <v/>
      </c>
      <c r="U153" s="77"/>
      <c r="W153" s="29"/>
      <c r="X153" s="29"/>
      <c r="Y153" s="5" t="str">
        <f t="shared" si="21"/>
        <v/>
      </c>
      <c r="Z153" s="5"/>
      <c r="AA153" s="5" t="str">
        <f t="shared" si="18"/>
        <v/>
      </c>
      <c r="AC153" s="77"/>
      <c r="AD153" s="5"/>
      <c r="AE153" s="30"/>
      <c r="AF153" s="30"/>
      <c r="AG153" s="5" t="str">
        <f t="shared" si="22"/>
        <v/>
      </c>
    </row>
    <row r="154" spans="3:33" x14ac:dyDescent="0.2">
      <c r="C154" s="77"/>
      <c r="E154" s="29"/>
      <c r="F154" s="29"/>
      <c r="G154" s="5" t="str">
        <f t="shared" si="19"/>
        <v/>
      </c>
      <c r="H154" s="5"/>
      <c r="I154" s="5" t="str">
        <f t="shared" si="17"/>
        <v/>
      </c>
      <c r="K154" s="77"/>
      <c r="L154" s="5"/>
      <c r="M154" s="30"/>
      <c r="N154" s="30"/>
      <c r="O154" s="5" t="str">
        <f t="shared" si="20"/>
        <v/>
      </c>
      <c r="U154" s="77"/>
      <c r="W154" s="29"/>
      <c r="X154" s="29"/>
      <c r="Y154" s="5" t="str">
        <f t="shared" si="21"/>
        <v/>
      </c>
      <c r="Z154" s="5"/>
      <c r="AA154" s="5" t="str">
        <f t="shared" si="18"/>
        <v/>
      </c>
      <c r="AC154" s="77"/>
      <c r="AD154" s="5"/>
      <c r="AE154" s="30"/>
      <c r="AF154" s="30"/>
      <c r="AG154" s="5" t="str">
        <f t="shared" si="22"/>
        <v/>
      </c>
    </row>
    <row r="155" spans="3:33" x14ac:dyDescent="0.2">
      <c r="C155" s="77"/>
      <c r="E155" s="29"/>
      <c r="F155" s="29"/>
      <c r="G155" s="5" t="str">
        <f t="shared" si="19"/>
        <v/>
      </c>
      <c r="H155" s="5"/>
      <c r="I155" s="5" t="str">
        <f t="shared" si="17"/>
        <v/>
      </c>
      <c r="K155" s="77"/>
      <c r="L155" s="5"/>
      <c r="M155" s="30"/>
      <c r="N155" s="30"/>
      <c r="O155" s="5" t="str">
        <f t="shared" si="20"/>
        <v/>
      </c>
      <c r="U155" s="77"/>
      <c r="W155" s="29"/>
      <c r="X155" s="29"/>
      <c r="Y155" s="5" t="str">
        <f t="shared" si="21"/>
        <v/>
      </c>
      <c r="Z155" s="5"/>
      <c r="AA155" s="5" t="str">
        <f t="shared" si="18"/>
        <v/>
      </c>
      <c r="AC155" s="77"/>
      <c r="AD155" s="5"/>
      <c r="AE155" s="30"/>
      <c r="AF155" s="30"/>
      <c r="AG155" s="5" t="str">
        <f t="shared" si="22"/>
        <v/>
      </c>
    </row>
    <row r="156" spans="3:33" x14ac:dyDescent="0.2">
      <c r="C156" s="77"/>
      <c r="E156" s="29"/>
      <c r="F156" s="29"/>
      <c r="G156" s="5" t="str">
        <f t="shared" si="19"/>
        <v/>
      </c>
      <c r="H156" s="5"/>
      <c r="I156" s="5" t="str">
        <f t="shared" si="17"/>
        <v/>
      </c>
      <c r="K156" s="77"/>
      <c r="L156" s="5"/>
      <c r="M156" s="30"/>
      <c r="N156" s="30"/>
      <c r="O156" s="5" t="str">
        <f t="shared" si="20"/>
        <v/>
      </c>
      <c r="U156" s="77"/>
      <c r="W156" s="29"/>
      <c r="X156" s="29"/>
      <c r="Y156" s="5" t="str">
        <f t="shared" si="21"/>
        <v/>
      </c>
      <c r="Z156" s="5"/>
      <c r="AA156" s="5" t="str">
        <f t="shared" si="18"/>
        <v/>
      </c>
      <c r="AC156" s="77"/>
      <c r="AD156" s="5"/>
      <c r="AE156" s="30"/>
      <c r="AF156" s="30"/>
      <c r="AG156" s="5" t="str">
        <f t="shared" si="22"/>
        <v/>
      </c>
    </row>
    <row r="157" spans="3:33" x14ac:dyDescent="0.2">
      <c r="C157" s="77"/>
      <c r="E157" s="29"/>
      <c r="F157" s="29"/>
      <c r="G157" s="5" t="str">
        <f t="shared" si="19"/>
        <v/>
      </c>
      <c r="H157" s="5"/>
      <c r="I157" s="5" t="str">
        <f t="shared" si="17"/>
        <v/>
      </c>
      <c r="K157" s="77"/>
      <c r="L157" s="5"/>
      <c r="M157" s="30"/>
      <c r="N157" s="30"/>
      <c r="O157" s="5" t="str">
        <f t="shared" si="20"/>
        <v/>
      </c>
      <c r="U157" s="77"/>
      <c r="W157" s="29"/>
      <c r="X157" s="29"/>
      <c r="Y157" s="5" t="str">
        <f t="shared" si="21"/>
        <v/>
      </c>
      <c r="Z157" s="5"/>
      <c r="AA157" s="5" t="str">
        <f t="shared" si="18"/>
        <v/>
      </c>
      <c r="AC157" s="77"/>
      <c r="AD157" s="5"/>
      <c r="AE157" s="30"/>
      <c r="AF157" s="30"/>
      <c r="AG157" s="5" t="str">
        <f t="shared" si="22"/>
        <v/>
      </c>
    </row>
    <row r="158" spans="3:33" x14ac:dyDescent="0.2">
      <c r="C158" s="77"/>
      <c r="E158" s="29"/>
      <c r="F158" s="29"/>
      <c r="G158" s="5" t="str">
        <f t="shared" si="19"/>
        <v/>
      </c>
      <c r="H158" s="5"/>
      <c r="I158" s="5" t="str">
        <f t="shared" si="17"/>
        <v/>
      </c>
      <c r="K158" s="77"/>
      <c r="L158" s="5"/>
      <c r="M158" s="30"/>
      <c r="N158" s="30"/>
      <c r="O158" s="5" t="str">
        <f t="shared" si="20"/>
        <v/>
      </c>
      <c r="U158" s="77"/>
      <c r="W158" s="29"/>
      <c r="X158" s="29"/>
      <c r="Y158" s="5" t="str">
        <f t="shared" si="21"/>
        <v/>
      </c>
      <c r="Z158" s="5"/>
      <c r="AA158" s="5" t="str">
        <f t="shared" si="18"/>
        <v/>
      </c>
      <c r="AC158" s="77"/>
      <c r="AD158" s="5"/>
      <c r="AE158" s="30"/>
      <c r="AF158" s="30"/>
      <c r="AG158" s="5" t="str">
        <f t="shared" si="22"/>
        <v/>
      </c>
    </row>
    <row r="159" spans="3:33" x14ac:dyDescent="0.2">
      <c r="C159" s="77"/>
      <c r="E159" s="29"/>
      <c r="F159" s="29"/>
      <c r="G159" s="5" t="str">
        <f t="shared" si="19"/>
        <v/>
      </c>
      <c r="H159" s="5"/>
      <c r="I159" s="5" t="str">
        <f t="shared" si="17"/>
        <v/>
      </c>
      <c r="K159" s="77"/>
      <c r="L159" s="5"/>
      <c r="M159" s="30"/>
      <c r="N159" s="30"/>
      <c r="O159" s="5" t="str">
        <f t="shared" si="20"/>
        <v/>
      </c>
      <c r="U159" s="77"/>
      <c r="W159" s="29"/>
      <c r="X159" s="29"/>
      <c r="Y159" s="5" t="str">
        <f t="shared" si="21"/>
        <v/>
      </c>
      <c r="Z159" s="5"/>
      <c r="AA159" s="5" t="str">
        <f t="shared" si="18"/>
        <v/>
      </c>
      <c r="AC159" s="77"/>
      <c r="AD159" s="5"/>
      <c r="AE159" s="30"/>
      <c r="AF159" s="30"/>
      <c r="AG159" s="5" t="str">
        <f t="shared" si="22"/>
        <v/>
      </c>
    </row>
    <row r="160" spans="3:33" x14ac:dyDescent="0.2">
      <c r="C160" s="77"/>
      <c r="E160" s="29"/>
      <c r="F160" s="29"/>
      <c r="G160" s="5" t="str">
        <f t="shared" si="19"/>
        <v/>
      </c>
      <c r="H160" s="5"/>
      <c r="I160" s="5" t="str">
        <f t="shared" si="17"/>
        <v/>
      </c>
      <c r="K160" s="77"/>
      <c r="L160" s="5"/>
      <c r="M160" s="30"/>
      <c r="N160" s="30"/>
      <c r="O160" s="5" t="str">
        <f t="shared" si="20"/>
        <v/>
      </c>
      <c r="U160" s="77"/>
      <c r="W160" s="29"/>
      <c r="X160" s="29"/>
      <c r="Y160" s="5" t="str">
        <f t="shared" si="21"/>
        <v/>
      </c>
      <c r="Z160" s="5"/>
      <c r="AA160" s="5" t="str">
        <f t="shared" si="18"/>
        <v/>
      </c>
      <c r="AC160" s="77"/>
      <c r="AD160" s="5"/>
      <c r="AE160" s="30"/>
      <c r="AF160" s="30"/>
      <c r="AG160" s="5" t="str">
        <f t="shared" si="22"/>
        <v/>
      </c>
    </row>
    <row r="161" spans="3:33" x14ac:dyDescent="0.2">
      <c r="C161" s="77"/>
      <c r="E161" s="29"/>
      <c r="F161" s="29"/>
      <c r="G161" s="5" t="str">
        <f t="shared" si="19"/>
        <v/>
      </c>
      <c r="H161" s="5"/>
      <c r="I161" s="5" t="str">
        <f t="shared" si="17"/>
        <v/>
      </c>
      <c r="K161" s="77"/>
      <c r="L161" s="5"/>
      <c r="M161" s="30"/>
      <c r="N161" s="30"/>
      <c r="O161" s="5" t="str">
        <f t="shared" si="20"/>
        <v/>
      </c>
      <c r="U161" s="77"/>
      <c r="W161" s="29"/>
      <c r="X161" s="29"/>
      <c r="Y161" s="5" t="str">
        <f t="shared" si="21"/>
        <v/>
      </c>
      <c r="Z161" s="5"/>
      <c r="AA161" s="5" t="str">
        <f t="shared" si="18"/>
        <v/>
      </c>
      <c r="AC161" s="77"/>
      <c r="AD161" s="5"/>
      <c r="AE161" s="30"/>
      <c r="AF161" s="30"/>
      <c r="AG161" s="5" t="str">
        <f t="shared" si="22"/>
        <v/>
      </c>
    </row>
    <row r="162" spans="3:33" x14ac:dyDescent="0.2">
      <c r="C162" s="77"/>
      <c r="E162" s="29"/>
      <c r="F162" s="29"/>
      <c r="G162" s="5" t="str">
        <f t="shared" si="19"/>
        <v/>
      </c>
      <c r="H162" s="5"/>
      <c r="I162" s="5" t="str">
        <f t="shared" si="17"/>
        <v/>
      </c>
      <c r="K162" s="77"/>
      <c r="L162" s="5"/>
      <c r="M162" s="30"/>
      <c r="N162" s="30"/>
      <c r="O162" s="5" t="str">
        <f t="shared" si="20"/>
        <v/>
      </c>
      <c r="U162" s="77"/>
      <c r="W162" s="29"/>
      <c r="X162" s="29"/>
      <c r="Y162" s="5" t="str">
        <f t="shared" si="21"/>
        <v/>
      </c>
      <c r="Z162" s="5"/>
      <c r="AA162" s="5" t="str">
        <f t="shared" si="18"/>
        <v/>
      </c>
      <c r="AC162" s="77"/>
      <c r="AD162" s="5"/>
      <c r="AE162" s="30"/>
      <c r="AF162" s="30"/>
      <c r="AG162" s="5" t="str">
        <f t="shared" si="22"/>
        <v/>
      </c>
    </row>
    <row r="163" spans="3:33" x14ac:dyDescent="0.2">
      <c r="C163" s="77"/>
      <c r="E163" s="29"/>
      <c r="F163" s="29"/>
      <c r="G163" s="5" t="str">
        <f t="shared" si="19"/>
        <v/>
      </c>
      <c r="H163" s="5"/>
      <c r="I163" s="5" t="str">
        <f t="shared" si="17"/>
        <v/>
      </c>
      <c r="K163" s="77"/>
      <c r="L163" s="5"/>
      <c r="M163" s="30"/>
      <c r="N163" s="30"/>
      <c r="O163" s="5" t="str">
        <f t="shared" si="20"/>
        <v/>
      </c>
      <c r="U163" s="77"/>
      <c r="W163" s="29"/>
      <c r="X163" s="29"/>
      <c r="Y163" s="5" t="str">
        <f t="shared" si="21"/>
        <v/>
      </c>
      <c r="Z163" s="5"/>
      <c r="AA163" s="5" t="str">
        <f t="shared" si="18"/>
        <v/>
      </c>
      <c r="AC163" s="77"/>
      <c r="AD163" s="5"/>
      <c r="AE163" s="30"/>
      <c r="AF163" s="30"/>
      <c r="AG163" s="5" t="str">
        <f t="shared" si="22"/>
        <v/>
      </c>
    </row>
    <row r="164" spans="3:33" x14ac:dyDescent="0.2">
      <c r="C164" s="77"/>
      <c r="E164" s="29"/>
      <c r="F164" s="29"/>
      <c r="G164" s="5" t="str">
        <f t="shared" si="19"/>
        <v/>
      </c>
      <c r="H164" s="5"/>
      <c r="I164" s="5" t="str">
        <f t="shared" si="17"/>
        <v/>
      </c>
      <c r="K164" s="77"/>
      <c r="L164" s="5"/>
      <c r="M164" s="30"/>
      <c r="N164" s="30"/>
      <c r="O164" s="5" t="str">
        <f t="shared" si="20"/>
        <v/>
      </c>
      <c r="U164" s="77"/>
      <c r="W164" s="29"/>
      <c r="X164" s="29"/>
      <c r="Y164" s="5" t="str">
        <f t="shared" si="21"/>
        <v/>
      </c>
      <c r="Z164" s="5"/>
      <c r="AA164" s="5" t="str">
        <f t="shared" si="18"/>
        <v/>
      </c>
      <c r="AC164" s="77"/>
      <c r="AD164" s="5"/>
      <c r="AE164" s="30"/>
      <c r="AF164" s="30"/>
      <c r="AG164" s="5" t="str">
        <f t="shared" si="22"/>
        <v/>
      </c>
    </row>
    <row r="165" spans="3:33" x14ac:dyDescent="0.2">
      <c r="C165" s="77"/>
      <c r="E165" s="29"/>
      <c r="F165" s="29"/>
      <c r="G165" s="5" t="str">
        <f t="shared" si="19"/>
        <v/>
      </c>
      <c r="H165" s="5"/>
      <c r="I165" s="5" t="str">
        <f t="shared" si="17"/>
        <v/>
      </c>
      <c r="K165" s="77"/>
      <c r="L165" s="5"/>
      <c r="M165" s="30"/>
      <c r="N165" s="30"/>
      <c r="O165" s="5" t="str">
        <f t="shared" si="20"/>
        <v/>
      </c>
      <c r="U165" s="77"/>
      <c r="W165" s="29"/>
      <c r="X165" s="29"/>
      <c r="Y165" s="5" t="str">
        <f t="shared" si="21"/>
        <v/>
      </c>
      <c r="Z165" s="5"/>
      <c r="AA165" s="5" t="str">
        <f t="shared" si="18"/>
        <v/>
      </c>
      <c r="AC165" s="77"/>
      <c r="AD165" s="5"/>
      <c r="AE165" s="30"/>
      <c r="AF165" s="30"/>
      <c r="AG165" s="5" t="str">
        <f t="shared" si="22"/>
        <v/>
      </c>
    </row>
    <row r="166" spans="3:33" x14ac:dyDescent="0.2">
      <c r="C166" s="77"/>
      <c r="E166" s="29"/>
      <c r="F166" s="29"/>
      <c r="G166" s="5" t="str">
        <f t="shared" si="19"/>
        <v/>
      </c>
      <c r="H166" s="5"/>
      <c r="I166" s="5" t="str">
        <f t="shared" si="17"/>
        <v/>
      </c>
      <c r="K166" s="77"/>
      <c r="L166" s="5"/>
      <c r="M166" s="30"/>
      <c r="N166" s="30"/>
      <c r="O166" s="5" t="str">
        <f t="shared" si="20"/>
        <v/>
      </c>
      <c r="U166" s="77"/>
      <c r="W166" s="29"/>
      <c r="X166" s="29"/>
      <c r="Y166" s="5" t="str">
        <f t="shared" si="21"/>
        <v/>
      </c>
      <c r="Z166" s="5"/>
      <c r="AA166" s="5" t="str">
        <f t="shared" si="18"/>
        <v/>
      </c>
      <c r="AC166" s="77"/>
      <c r="AD166" s="5"/>
      <c r="AE166" s="30"/>
      <c r="AF166" s="30"/>
      <c r="AG166" s="5" t="str">
        <f t="shared" si="22"/>
        <v/>
      </c>
    </row>
    <row r="167" spans="3:33" x14ac:dyDescent="0.2">
      <c r="C167" s="77"/>
      <c r="E167" s="29"/>
      <c r="F167" s="29"/>
      <c r="G167" s="5" t="str">
        <f t="shared" si="19"/>
        <v/>
      </c>
      <c r="H167" s="5"/>
      <c r="I167" s="5" t="str">
        <f t="shared" si="17"/>
        <v/>
      </c>
      <c r="K167" s="77"/>
      <c r="L167" s="5"/>
      <c r="M167" s="30"/>
      <c r="N167" s="30"/>
      <c r="O167" s="5" t="str">
        <f t="shared" si="20"/>
        <v/>
      </c>
      <c r="U167" s="77"/>
      <c r="W167" s="29"/>
      <c r="X167" s="29"/>
      <c r="Y167" s="5" t="str">
        <f t="shared" si="21"/>
        <v/>
      </c>
      <c r="Z167" s="5"/>
      <c r="AA167" s="5" t="str">
        <f t="shared" si="18"/>
        <v/>
      </c>
      <c r="AC167" s="77"/>
      <c r="AD167" s="5"/>
      <c r="AE167" s="30"/>
      <c r="AF167" s="30"/>
      <c r="AG167" s="5" t="str">
        <f t="shared" si="22"/>
        <v/>
      </c>
    </row>
    <row r="168" spans="3:33" x14ac:dyDescent="0.2">
      <c r="C168" s="77"/>
      <c r="E168" s="29"/>
      <c r="F168" s="29"/>
      <c r="G168" s="5" t="str">
        <f t="shared" si="19"/>
        <v/>
      </c>
      <c r="H168" s="5"/>
      <c r="I168" s="5" t="str">
        <f t="shared" si="17"/>
        <v/>
      </c>
      <c r="K168" s="77"/>
      <c r="L168" s="5"/>
      <c r="M168" s="30"/>
      <c r="N168" s="30"/>
      <c r="O168" s="5" t="str">
        <f t="shared" si="20"/>
        <v/>
      </c>
      <c r="U168" s="77"/>
      <c r="W168" s="29"/>
      <c r="X168" s="29"/>
      <c r="Y168" s="5" t="str">
        <f t="shared" si="21"/>
        <v/>
      </c>
      <c r="Z168" s="5"/>
      <c r="AA168" s="5" t="str">
        <f t="shared" si="18"/>
        <v/>
      </c>
      <c r="AC168" s="77"/>
      <c r="AD168" s="5"/>
      <c r="AE168" s="30"/>
      <c r="AF168" s="30"/>
      <c r="AG168" s="5" t="str">
        <f t="shared" si="22"/>
        <v/>
      </c>
    </row>
    <row r="169" spans="3:33" x14ac:dyDescent="0.2">
      <c r="C169" s="77"/>
      <c r="E169" s="29"/>
      <c r="F169" s="29"/>
      <c r="G169" s="5" t="str">
        <f t="shared" si="19"/>
        <v/>
      </c>
      <c r="H169" s="5"/>
      <c r="I169" s="5" t="str">
        <f t="shared" si="17"/>
        <v/>
      </c>
      <c r="K169" s="77"/>
      <c r="L169" s="5"/>
      <c r="M169" s="30"/>
      <c r="N169" s="30"/>
      <c r="O169" s="5" t="str">
        <f t="shared" si="20"/>
        <v/>
      </c>
      <c r="U169" s="77"/>
      <c r="W169" s="29"/>
      <c r="X169" s="29"/>
      <c r="Y169" s="5" t="str">
        <f t="shared" si="21"/>
        <v/>
      </c>
      <c r="Z169" s="5"/>
      <c r="AA169" s="5" t="str">
        <f t="shared" si="18"/>
        <v/>
      </c>
      <c r="AC169" s="27"/>
      <c r="AD169" s="5"/>
      <c r="AE169" s="30"/>
      <c r="AF169" s="30"/>
      <c r="AG169" s="5" t="str">
        <f t="shared" si="22"/>
        <v/>
      </c>
    </row>
    <row r="170" spans="3:33" x14ac:dyDescent="0.2">
      <c r="C170" s="77"/>
      <c r="E170" s="29"/>
      <c r="F170" s="29"/>
      <c r="G170" s="5" t="str">
        <f t="shared" si="19"/>
        <v/>
      </c>
      <c r="H170" s="5"/>
      <c r="I170" s="5" t="str">
        <f t="shared" si="17"/>
        <v/>
      </c>
      <c r="K170" s="77"/>
      <c r="L170" s="5"/>
      <c r="M170" s="30"/>
      <c r="N170" s="30"/>
      <c r="O170" s="5" t="str">
        <f t="shared" si="20"/>
        <v/>
      </c>
      <c r="U170" s="77"/>
      <c r="W170" s="29"/>
      <c r="X170" s="29"/>
      <c r="Y170" s="5" t="str">
        <f t="shared" si="21"/>
        <v/>
      </c>
      <c r="Z170" s="5"/>
      <c r="AA170" s="5" t="str">
        <f t="shared" si="18"/>
        <v/>
      </c>
      <c r="AC170" s="27"/>
      <c r="AD170" s="5"/>
      <c r="AE170" s="30"/>
      <c r="AF170" s="30"/>
      <c r="AG170" s="5" t="str">
        <f t="shared" si="22"/>
        <v/>
      </c>
    </row>
    <row r="171" spans="3:33" x14ac:dyDescent="0.2">
      <c r="C171" s="77"/>
      <c r="E171" s="29"/>
      <c r="F171" s="29"/>
      <c r="G171" s="5" t="str">
        <f t="shared" si="19"/>
        <v/>
      </c>
      <c r="H171" s="5"/>
      <c r="I171" s="5" t="str">
        <f t="shared" si="17"/>
        <v/>
      </c>
      <c r="K171" s="77"/>
      <c r="L171" s="5"/>
      <c r="M171" s="30"/>
      <c r="N171" s="30"/>
      <c r="O171" s="5" t="str">
        <f t="shared" si="20"/>
        <v/>
      </c>
      <c r="U171" s="77"/>
      <c r="W171" s="29"/>
      <c r="X171" s="29"/>
      <c r="Y171" s="5" t="str">
        <f t="shared" si="21"/>
        <v/>
      </c>
      <c r="Z171" s="5"/>
      <c r="AA171" s="5" t="str">
        <f t="shared" si="18"/>
        <v/>
      </c>
      <c r="AC171" s="27"/>
      <c r="AD171" s="5"/>
      <c r="AE171" s="30"/>
      <c r="AF171" s="30"/>
      <c r="AG171" s="5" t="str">
        <f t="shared" si="22"/>
        <v/>
      </c>
    </row>
    <row r="172" spans="3:33" x14ac:dyDescent="0.2">
      <c r="C172" s="77"/>
      <c r="E172" s="29"/>
      <c r="F172" s="29"/>
      <c r="G172" s="5" t="str">
        <f t="shared" si="19"/>
        <v/>
      </c>
      <c r="H172" s="5"/>
      <c r="I172" s="5" t="str">
        <f t="shared" si="17"/>
        <v/>
      </c>
      <c r="K172" s="77"/>
      <c r="L172" s="5"/>
      <c r="M172" s="30"/>
      <c r="N172" s="30"/>
      <c r="O172" s="5" t="str">
        <f t="shared" si="20"/>
        <v/>
      </c>
      <c r="U172" s="77"/>
      <c r="W172" s="29"/>
      <c r="X172" s="29"/>
      <c r="Y172" s="5" t="str">
        <f t="shared" si="21"/>
        <v/>
      </c>
      <c r="Z172" s="5"/>
      <c r="AA172" s="5" t="str">
        <f t="shared" si="18"/>
        <v/>
      </c>
      <c r="AC172" s="27"/>
      <c r="AD172" s="5"/>
      <c r="AE172" s="30"/>
      <c r="AF172" s="30"/>
      <c r="AG172" s="5" t="str">
        <f t="shared" si="22"/>
        <v/>
      </c>
    </row>
    <row r="173" spans="3:33" x14ac:dyDescent="0.2">
      <c r="C173" s="77"/>
      <c r="E173" s="29"/>
      <c r="F173" s="29"/>
      <c r="G173" s="5" t="str">
        <f t="shared" si="19"/>
        <v/>
      </c>
      <c r="H173" s="5"/>
      <c r="I173" s="5" t="str">
        <f t="shared" si="17"/>
        <v/>
      </c>
      <c r="K173" s="77"/>
      <c r="L173" s="5"/>
      <c r="M173" s="30"/>
      <c r="N173" s="30"/>
      <c r="O173" s="5" t="str">
        <f t="shared" si="20"/>
        <v/>
      </c>
      <c r="U173" s="77"/>
      <c r="W173" s="29"/>
      <c r="X173" s="29"/>
      <c r="Y173" s="5" t="str">
        <f t="shared" si="21"/>
        <v/>
      </c>
      <c r="Z173" s="5"/>
      <c r="AA173" s="5" t="str">
        <f t="shared" si="18"/>
        <v/>
      </c>
      <c r="AC173" s="27"/>
      <c r="AD173" s="5"/>
      <c r="AE173" s="30"/>
      <c r="AF173" s="30"/>
      <c r="AG173" s="5" t="str">
        <f t="shared" si="22"/>
        <v/>
      </c>
    </row>
    <row r="174" spans="3:33" x14ac:dyDescent="0.2">
      <c r="C174" s="77"/>
      <c r="E174" s="29"/>
      <c r="F174" s="29"/>
      <c r="G174" s="5" t="str">
        <f t="shared" si="19"/>
        <v/>
      </c>
      <c r="H174" s="5"/>
      <c r="I174" s="5" t="str">
        <f t="shared" si="17"/>
        <v/>
      </c>
      <c r="K174" s="77"/>
      <c r="L174" s="5"/>
      <c r="M174" s="30"/>
      <c r="N174" s="30"/>
      <c r="O174" s="5" t="str">
        <f t="shared" si="20"/>
        <v/>
      </c>
      <c r="U174" s="77"/>
      <c r="W174" s="29"/>
      <c r="X174" s="29"/>
      <c r="Y174" s="5" t="str">
        <f t="shared" si="21"/>
        <v/>
      </c>
      <c r="Z174" s="5"/>
      <c r="AA174" s="5" t="str">
        <f t="shared" si="18"/>
        <v/>
      </c>
      <c r="AC174" s="27"/>
      <c r="AD174" s="5"/>
      <c r="AE174" s="30"/>
      <c r="AF174" s="30"/>
      <c r="AG174" s="5" t="str">
        <f t="shared" si="22"/>
        <v/>
      </c>
    </row>
    <row r="175" spans="3:33" x14ac:dyDescent="0.2">
      <c r="C175" s="77"/>
      <c r="E175" s="29"/>
      <c r="F175" s="29"/>
      <c r="G175" s="5" t="str">
        <f t="shared" si="19"/>
        <v/>
      </c>
      <c r="H175" s="5"/>
      <c r="I175" s="5" t="str">
        <f t="shared" si="17"/>
        <v/>
      </c>
      <c r="K175" s="77"/>
      <c r="L175" s="5"/>
      <c r="M175" s="30"/>
      <c r="N175" s="30"/>
      <c r="O175" s="5" t="str">
        <f t="shared" si="20"/>
        <v/>
      </c>
      <c r="U175" s="77"/>
      <c r="W175" s="29"/>
      <c r="X175" s="29"/>
      <c r="Y175" s="5" t="str">
        <f t="shared" si="21"/>
        <v/>
      </c>
      <c r="Z175" s="5"/>
      <c r="AA175" s="5" t="str">
        <f t="shared" si="18"/>
        <v/>
      </c>
      <c r="AC175" s="27"/>
      <c r="AD175" s="5"/>
      <c r="AE175" s="30"/>
      <c r="AF175" s="30"/>
      <c r="AG175" s="5" t="str">
        <f t="shared" si="22"/>
        <v/>
      </c>
    </row>
    <row r="176" spans="3:33" x14ac:dyDescent="0.2">
      <c r="C176" s="77"/>
      <c r="E176" s="29"/>
      <c r="F176" s="29"/>
      <c r="G176" s="5" t="str">
        <f t="shared" si="19"/>
        <v/>
      </c>
      <c r="H176" s="5"/>
      <c r="I176" s="5" t="str">
        <f t="shared" si="17"/>
        <v/>
      </c>
      <c r="K176" s="77"/>
      <c r="L176" s="5"/>
      <c r="M176" s="30"/>
      <c r="N176" s="30"/>
      <c r="O176" s="5" t="str">
        <f t="shared" si="20"/>
        <v/>
      </c>
      <c r="U176" s="77"/>
      <c r="W176" s="29"/>
      <c r="X176" s="29"/>
      <c r="Y176" s="5" t="str">
        <f t="shared" si="21"/>
        <v/>
      </c>
      <c r="Z176" s="5"/>
      <c r="AA176" s="5" t="str">
        <f t="shared" si="18"/>
        <v/>
      </c>
      <c r="AC176" s="27"/>
      <c r="AD176" s="5"/>
      <c r="AE176" s="30"/>
      <c r="AF176" s="30"/>
      <c r="AG176" s="5" t="str">
        <f t="shared" si="22"/>
        <v/>
      </c>
    </row>
    <row r="177" spans="3:33" x14ac:dyDescent="0.2">
      <c r="C177" s="77"/>
      <c r="E177" s="29"/>
      <c r="F177" s="29"/>
      <c r="G177" s="5" t="str">
        <f t="shared" si="19"/>
        <v/>
      </c>
      <c r="H177" s="5"/>
      <c r="I177" s="5" t="str">
        <f t="shared" si="17"/>
        <v/>
      </c>
      <c r="K177" s="77"/>
      <c r="L177" s="5"/>
      <c r="M177" s="30"/>
      <c r="N177" s="30"/>
      <c r="O177" s="5" t="str">
        <f t="shared" si="20"/>
        <v/>
      </c>
      <c r="U177" s="77"/>
      <c r="W177" s="29"/>
      <c r="X177" s="29"/>
      <c r="Y177" s="5" t="str">
        <f t="shared" si="21"/>
        <v/>
      </c>
      <c r="Z177" s="5"/>
      <c r="AA177" s="5" t="str">
        <f t="shared" si="18"/>
        <v/>
      </c>
      <c r="AC177" s="27"/>
      <c r="AD177" s="5"/>
      <c r="AE177" s="30"/>
      <c r="AF177" s="30"/>
      <c r="AG177" s="5" t="str">
        <f t="shared" si="22"/>
        <v/>
      </c>
    </row>
    <row r="178" spans="3:33" x14ac:dyDescent="0.2">
      <c r="C178" s="77"/>
      <c r="E178" s="29"/>
      <c r="F178" s="29"/>
      <c r="G178" s="5" t="str">
        <f t="shared" si="19"/>
        <v/>
      </c>
      <c r="H178" s="5"/>
      <c r="I178" s="5" t="str">
        <f t="shared" si="17"/>
        <v/>
      </c>
      <c r="K178" s="77"/>
      <c r="L178" s="5"/>
      <c r="M178" s="30"/>
      <c r="N178" s="30"/>
      <c r="O178" s="5" t="str">
        <f t="shared" si="20"/>
        <v/>
      </c>
      <c r="U178" s="77"/>
      <c r="W178" s="29"/>
      <c r="X178" s="29"/>
      <c r="Y178" s="5" t="str">
        <f t="shared" si="21"/>
        <v/>
      </c>
      <c r="Z178" s="5"/>
      <c r="AA178" s="5" t="str">
        <f t="shared" si="18"/>
        <v/>
      </c>
      <c r="AC178" s="27"/>
      <c r="AD178" s="5"/>
      <c r="AE178" s="30"/>
      <c r="AF178" s="30"/>
      <c r="AG178" s="5" t="str">
        <f t="shared" si="22"/>
        <v/>
      </c>
    </row>
    <row r="179" spans="3:33" x14ac:dyDescent="0.2">
      <c r="C179" s="77"/>
      <c r="E179" s="29"/>
      <c r="F179" s="29"/>
      <c r="G179" s="5" t="str">
        <f t="shared" si="19"/>
        <v/>
      </c>
      <c r="H179" s="5"/>
      <c r="I179" s="5" t="str">
        <f t="shared" si="17"/>
        <v/>
      </c>
      <c r="K179" s="77"/>
      <c r="L179" s="5"/>
      <c r="M179" s="30"/>
      <c r="N179" s="30"/>
      <c r="O179" s="5" t="str">
        <f t="shared" si="20"/>
        <v/>
      </c>
      <c r="U179" s="77"/>
      <c r="W179" s="29"/>
      <c r="X179" s="29"/>
      <c r="Y179" s="5" t="str">
        <f t="shared" si="21"/>
        <v/>
      </c>
      <c r="Z179" s="5"/>
      <c r="AA179" s="5" t="str">
        <f t="shared" si="18"/>
        <v/>
      </c>
      <c r="AC179" s="27"/>
      <c r="AD179" s="5"/>
      <c r="AE179" s="30"/>
      <c r="AF179" s="30"/>
      <c r="AG179" s="5" t="str">
        <f t="shared" si="22"/>
        <v/>
      </c>
    </row>
    <row r="180" spans="3:33" x14ac:dyDescent="0.2">
      <c r="C180" s="77"/>
      <c r="E180" s="29"/>
      <c r="F180" s="29"/>
      <c r="G180" s="5" t="str">
        <f t="shared" si="19"/>
        <v/>
      </c>
      <c r="H180" s="5"/>
      <c r="I180" s="5" t="str">
        <f t="shared" si="17"/>
        <v/>
      </c>
      <c r="K180" s="77"/>
      <c r="L180" s="5"/>
      <c r="M180" s="30"/>
      <c r="N180" s="30"/>
      <c r="O180" s="5" t="str">
        <f t="shared" si="20"/>
        <v/>
      </c>
      <c r="U180" s="77"/>
      <c r="W180" s="29"/>
      <c r="X180" s="29"/>
      <c r="Y180" s="5" t="str">
        <f t="shared" si="21"/>
        <v/>
      </c>
      <c r="Z180" s="5"/>
      <c r="AA180" s="5" t="str">
        <f t="shared" si="18"/>
        <v/>
      </c>
      <c r="AC180" s="27"/>
      <c r="AD180" s="5"/>
      <c r="AE180" s="30"/>
      <c r="AF180" s="30"/>
      <c r="AG180" s="5" t="str">
        <f t="shared" si="22"/>
        <v/>
      </c>
    </row>
    <row r="181" spans="3:33" x14ac:dyDescent="0.2">
      <c r="C181" s="77"/>
      <c r="E181" s="29"/>
      <c r="F181" s="29"/>
      <c r="G181" s="5" t="str">
        <f t="shared" si="19"/>
        <v/>
      </c>
      <c r="H181" s="5"/>
      <c r="I181" s="5" t="str">
        <f t="shared" si="17"/>
        <v/>
      </c>
      <c r="K181" s="77"/>
      <c r="L181" s="5"/>
      <c r="M181" s="30"/>
      <c r="N181" s="30"/>
      <c r="O181" s="5" t="str">
        <f t="shared" si="20"/>
        <v/>
      </c>
      <c r="U181" s="77"/>
      <c r="W181" s="29"/>
      <c r="X181" s="29"/>
      <c r="Y181" s="5" t="str">
        <f t="shared" si="21"/>
        <v/>
      </c>
      <c r="Z181" s="5"/>
      <c r="AA181" s="5" t="str">
        <f t="shared" si="18"/>
        <v/>
      </c>
      <c r="AC181" s="27"/>
      <c r="AD181" s="5"/>
      <c r="AE181" s="30"/>
      <c r="AF181" s="30"/>
      <c r="AG181" s="5" t="str">
        <f t="shared" si="22"/>
        <v/>
      </c>
    </row>
    <row r="182" spans="3:33" x14ac:dyDescent="0.2">
      <c r="C182" s="77"/>
      <c r="E182" s="29"/>
      <c r="F182" s="29"/>
      <c r="G182" s="5" t="str">
        <f t="shared" si="19"/>
        <v/>
      </c>
      <c r="H182" s="5"/>
      <c r="I182" s="5" t="str">
        <f t="shared" si="17"/>
        <v/>
      </c>
      <c r="K182" s="77"/>
      <c r="L182" s="5"/>
      <c r="M182" s="30"/>
      <c r="N182" s="30"/>
      <c r="O182" s="5" t="str">
        <f t="shared" si="20"/>
        <v/>
      </c>
      <c r="U182" s="77"/>
      <c r="W182" s="29"/>
      <c r="X182" s="29"/>
      <c r="Y182" s="5" t="str">
        <f t="shared" si="21"/>
        <v/>
      </c>
      <c r="Z182" s="5"/>
      <c r="AA182" s="5" t="str">
        <f t="shared" si="18"/>
        <v/>
      </c>
      <c r="AC182" s="27"/>
      <c r="AD182" s="5"/>
      <c r="AE182" s="30"/>
      <c r="AF182" s="30"/>
      <c r="AG182" s="5" t="str">
        <f t="shared" si="22"/>
        <v/>
      </c>
    </row>
    <row r="183" spans="3:33" x14ac:dyDescent="0.2">
      <c r="C183" s="77"/>
      <c r="E183" s="29"/>
      <c r="F183" s="29"/>
      <c r="G183" s="5" t="str">
        <f t="shared" si="19"/>
        <v/>
      </c>
      <c r="H183" s="5"/>
      <c r="I183" s="5" t="str">
        <f t="shared" si="17"/>
        <v/>
      </c>
      <c r="K183" s="77"/>
      <c r="L183" s="5"/>
      <c r="M183" s="30"/>
      <c r="N183" s="30"/>
      <c r="O183" s="5" t="str">
        <f t="shared" si="20"/>
        <v/>
      </c>
      <c r="U183" s="77"/>
      <c r="W183" s="29"/>
      <c r="X183" s="29"/>
      <c r="Y183" s="5" t="str">
        <f t="shared" si="21"/>
        <v/>
      </c>
      <c r="Z183" s="5"/>
      <c r="AA183" s="5" t="str">
        <f t="shared" si="18"/>
        <v/>
      </c>
      <c r="AC183" s="27"/>
      <c r="AD183" s="5"/>
      <c r="AE183" s="30"/>
      <c r="AF183" s="30"/>
      <c r="AG183" s="5" t="str">
        <f t="shared" si="22"/>
        <v/>
      </c>
    </row>
    <row r="184" spans="3:33" x14ac:dyDescent="0.2">
      <c r="C184" s="77"/>
      <c r="E184" s="29"/>
      <c r="F184" s="29"/>
      <c r="G184" s="5" t="str">
        <f t="shared" si="19"/>
        <v/>
      </c>
      <c r="H184" s="5"/>
      <c r="I184" s="5" t="str">
        <f t="shared" si="17"/>
        <v/>
      </c>
      <c r="K184" s="77"/>
      <c r="L184" s="5"/>
      <c r="M184" s="30"/>
      <c r="N184" s="30"/>
      <c r="O184" s="5" t="str">
        <f t="shared" si="20"/>
        <v/>
      </c>
      <c r="U184" s="77"/>
      <c r="W184" s="29"/>
      <c r="X184" s="29"/>
      <c r="Y184" s="5" t="str">
        <f t="shared" si="21"/>
        <v/>
      </c>
      <c r="Z184" s="5"/>
      <c r="AA184" s="5" t="str">
        <f t="shared" si="18"/>
        <v/>
      </c>
      <c r="AC184" s="27"/>
      <c r="AD184" s="5"/>
      <c r="AE184" s="30"/>
      <c r="AF184" s="30"/>
      <c r="AG184" s="5" t="str">
        <f t="shared" si="22"/>
        <v/>
      </c>
    </row>
    <row r="185" spans="3:33" x14ac:dyDescent="0.2">
      <c r="C185" s="77"/>
      <c r="E185" s="29"/>
      <c r="F185" s="29"/>
      <c r="G185" s="5" t="str">
        <f t="shared" si="19"/>
        <v/>
      </c>
      <c r="H185" s="5"/>
      <c r="I185" s="5" t="str">
        <f t="shared" si="17"/>
        <v/>
      </c>
      <c r="K185" s="77"/>
      <c r="L185" s="5"/>
      <c r="M185" s="30"/>
      <c r="N185" s="30"/>
      <c r="O185" s="5" t="str">
        <f t="shared" si="20"/>
        <v/>
      </c>
      <c r="U185" s="77"/>
      <c r="W185" s="29"/>
      <c r="X185" s="29"/>
      <c r="Y185" s="5" t="str">
        <f t="shared" si="21"/>
        <v/>
      </c>
      <c r="Z185" s="5"/>
      <c r="AA185" s="5" t="str">
        <f t="shared" si="18"/>
        <v/>
      </c>
      <c r="AC185" s="27"/>
      <c r="AD185" s="5"/>
      <c r="AE185" s="30"/>
      <c r="AF185" s="30"/>
      <c r="AG185" s="5" t="str">
        <f t="shared" si="22"/>
        <v/>
      </c>
    </row>
    <row r="186" spans="3:33" x14ac:dyDescent="0.2">
      <c r="C186" s="77"/>
      <c r="E186" s="29"/>
      <c r="F186" s="29"/>
      <c r="G186" s="5" t="str">
        <f t="shared" si="19"/>
        <v/>
      </c>
      <c r="H186" s="5"/>
      <c r="I186" s="5" t="str">
        <f t="shared" si="17"/>
        <v/>
      </c>
      <c r="K186" s="77"/>
      <c r="L186" s="5"/>
      <c r="M186" s="30"/>
      <c r="N186" s="30"/>
      <c r="O186" s="5" t="str">
        <f t="shared" si="20"/>
        <v/>
      </c>
      <c r="U186" s="77"/>
      <c r="W186" s="29"/>
      <c r="X186" s="29"/>
      <c r="Y186" s="5" t="str">
        <f t="shared" si="21"/>
        <v/>
      </c>
      <c r="Z186" s="5"/>
      <c r="AA186" s="5" t="str">
        <f t="shared" si="18"/>
        <v/>
      </c>
      <c r="AC186" s="27"/>
      <c r="AD186" s="5"/>
      <c r="AE186" s="30"/>
      <c r="AF186" s="30"/>
      <c r="AG186" s="5" t="str">
        <f t="shared" si="22"/>
        <v/>
      </c>
    </row>
    <row r="187" spans="3:33" x14ac:dyDescent="0.2">
      <c r="C187" s="77"/>
      <c r="E187" s="29"/>
      <c r="F187" s="29"/>
      <c r="G187" s="5" t="str">
        <f t="shared" si="19"/>
        <v/>
      </c>
      <c r="H187" s="5"/>
      <c r="I187" s="5" t="str">
        <f t="shared" si="17"/>
        <v/>
      </c>
      <c r="K187" s="77"/>
      <c r="L187" s="5"/>
      <c r="M187" s="30"/>
      <c r="N187" s="30"/>
      <c r="O187" s="5" t="str">
        <f t="shared" si="20"/>
        <v/>
      </c>
      <c r="U187" s="77"/>
      <c r="W187" s="29"/>
      <c r="X187" s="29"/>
      <c r="Y187" s="5" t="str">
        <f t="shared" si="21"/>
        <v/>
      </c>
      <c r="Z187" s="5"/>
      <c r="AA187" s="5" t="str">
        <f t="shared" si="18"/>
        <v/>
      </c>
      <c r="AC187" s="27"/>
      <c r="AD187" s="5"/>
      <c r="AE187" s="30"/>
      <c r="AF187" s="30"/>
      <c r="AG187" s="5" t="str">
        <f t="shared" si="22"/>
        <v/>
      </c>
    </row>
    <row r="188" spans="3:33" x14ac:dyDescent="0.2">
      <c r="C188" s="77"/>
      <c r="E188" s="29"/>
      <c r="F188" s="29"/>
      <c r="G188" s="5" t="str">
        <f t="shared" si="19"/>
        <v/>
      </c>
      <c r="H188" s="5"/>
      <c r="I188" s="5" t="str">
        <f t="shared" si="17"/>
        <v/>
      </c>
      <c r="K188" s="77"/>
      <c r="L188" s="5"/>
      <c r="M188" s="30"/>
      <c r="N188" s="30"/>
      <c r="O188" s="5" t="str">
        <f t="shared" si="20"/>
        <v/>
      </c>
      <c r="U188" s="77"/>
      <c r="W188" s="29"/>
      <c r="X188" s="29"/>
      <c r="Y188" s="5" t="str">
        <f t="shared" si="21"/>
        <v/>
      </c>
      <c r="Z188" s="5"/>
      <c r="AA188" s="5" t="str">
        <f t="shared" si="18"/>
        <v/>
      </c>
      <c r="AC188" s="27"/>
      <c r="AD188" s="5"/>
      <c r="AE188" s="30"/>
      <c r="AF188" s="30"/>
      <c r="AG188" s="5" t="str">
        <f t="shared" si="22"/>
        <v/>
      </c>
    </row>
    <row r="189" spans="3:33" x14ac:dyDescent="0.2">
      <c r="C189" s="77"/>
      <c r="E189" s="29"/>
      <c r="F189" s="29"/>
      <c r="G189" s="5" t="str">
        <f t="shared" si="19"/>
        <v/>
      </c>
      <c r="H189" s="5"/>
      <c r="I189" s="5" t="str">
        <f t="shared" si="17"/>
        <v/>
      </c>
      <c r="K189" s="77"/>
      <c r="L189" s="5"/>
      <c r="M189" s="30"/>
      <c r="N189" s="30"/>
      <c r="O189" s="5" t="str">
        <f t="shared" si="20"/>
        <v/>
      </c>
      <c r="U189" s="77"/>
      <c r="W189" s="29"/>
      <c r="X189" s="29"/>
      <c r="Y189" s="5" t="str">
        <f t="shared" si="21"/>
        <v/>
      </c>
      <c r="Z189" s="5"/>
      <c r="AA189" s="5" t="str">
        <f t="shared" si="18"/>
        <v/>
      </c>
      <c r="AC189" s="27"/>
      <c r="AD189" s="5"/>
      <c r="AE189" s="30"/>
      <c r="AF189" s="30"/>
      <c r="AG189" s="5" t="str">
        <f t="shared" si="22"/>
        <v/>
      </c>
    </row>
    <row r="190" spans="3:33" x14ac:dyDescent="0.2">
      <c r="C190" s="77"/>
      <c r="E190" s="29"/>
      <c r="F190" s="29"/>
      <c r="G190" s="5" t="str">
        <f t="shared" si="19"/>
        <v/>
      </c>
      <c r="H190" s="5"/>
      <c r="I190" s="5" t="str">
        <f t="shared" si="17"/>
        <v/>
      </c>
      <c r="K190" s="77"/>
      <c r="L190" s="5"/>
      <c r="M190" s="30"/>
      <c r="N190" s="30"/>
      <c r="O190" s="5" t="str">
        <f t="shared" si="20"/>
        <v/>
      </c>
      <c r="U190" s="77"/>
      <c r="W190" s="29"/>
      <c r="X190" s="29"/>
      <c r="Y190" s="5" t="str">
        <f t="shared" si="21"/>
        <v/>
      </c>
      <c r="Z190" s="5"/>
      <c r="AA190" s="5" t="str">
        <f t="shared" si="18"/>
        <v/>
      </c>
      <c r="AC190" s="27"/>
      <c r="AD190" s="5"/>
      <c r="AE190" s="30"/>
      <c r="AF190" s="30"/>
      <c r="AG190" s="5" t="str">
        <f t="shared" si="22"/>
        <v/>
      </c>
    </row>
    <row r="191" spans="3:33" x14ac:dyDescent="0.2">
      <c r="C191" s="77"/>
      <c r="E191" s="29"/>
      <c r="F191" s="29"/>
      <c r="G191" s="5" t="str">
        <f t="shared" si="19"/>
        <v/>
      </c>
      <c r="H191" s="5"/>
      <c r="I191" s="5" t="str">
        <f t="shared" si="17"/>
        <v/>
      </c>
      <c r="K191" s="77"/>
      <c r="L191" s="5"/>
      <c r="M191" s="30"/>
      <c r="N191" s="30"/>
      <c r="O191" s="5" t="str">
        <f t="shared" si="20"/>
        <v/>
      </c>
      <c r="U191" s="77"/>
      <c r="W191" s="29"/>
      <c r="X191" s="29"/>
      <c r="Y191" s="5" t="str">
        <f t="shared" si="21"/>
        <v/>
      </c>
      <c r="Z191" s="5"/>
      <c r="AA191" s="5" t="str">
        <f t="shared" si="18"/>
        <v/>
      </c>
      <c r="AC191" s="27"/>
      <c r="AD191" s="5"/>
      <c r="AE191" s="30"/>
      <c r="AF191" s="30"/>
      <c r="AG191" s="5" t="str">
        <f t="shared" si="22"/>
        <v/>
      </c>
    </row>
    <row r="192" spans="3:33" x14ac:dyDescent="0.2">
      <c r="C192" s="77"/>
      <c r="E192" s="29"/>
      <c r="F192" s="29"/>
      <c r="G192" s="5" t="str">
        <f t="shared" si="19"/>
        <v/>
      </c>
      <c r="H192" s="5"/>
      <c r="I192" s="5" t="str">
        <f t="shared" si="17"/>
        <v/>
      </c>
      <c r="K192" s="77"/>
      <c r="L192" s="5"/>
      <c r="M192" s="30"/>
      <c r="N192" s="30"/>
      <c r="O192" s="5" t="str">
        <f t="shared" si="20"/>
        <v/>
      </c>
      <c r="U192" s="77"/>
      <c r="W192" s="29"/>
      <c r="X192" s="29"/>
      <c r="Y192" s="5" t="str">
        <f t="shared" si="21"/>
        <v/>
      </c>
      <c r="Z192" s="5"/>
      <c r="AA192" s="5" t="str">
        <f t="shared" si="18"/>
        <v/>
      </c>
      <c r="AC192" s="27"/>
      <c r="AD192" s="5"/>
      <c r="AE192" s="30"/>
      <c r="AF192" s="30"/>
      <c r="AG192" s="5" t="str">
        <f t="shared" si="22"/>
        <v/>
      </c>
    </row>
    <row r="193" spans="3:33" x14ac:dyDescent="0.2">
      <c r="C193" s="77"/>
      <c r="E193" s="29"/>
      <c r="F193" s="29"/>
      <c r="G193" s="5" t="str">
        <f t="shared" si="19"/>
        <v/>
      </c>
      <c r="H193" s="5"/>
      <c r="I193" s="5" t="str">
        <f t="shared" si="17"/>
        <v/>
      </c>
      <c r="K193" s="77"/>
      <c r="L193" s="5"/>
      <c r="M193" s="30"/>
      <c r="N193" s="30"/>
      <c r="O193" s="5" t="str">
        <f t="shared" si="20"/>
        <v/>
      </c>
      <c r="U193" s="77"/>
      <c r="W193" s="29"/>
      <c r="X193" s="29"/>
      <c r="Y193" s="5" t="str">
        <f t="shared" si="21"/>
        <v/>
      </c>
      <c r="Z193" s="5"/>
      <c r="AA193" s="5" t="str">
        <f t="shared" si="18"/>
        <v/>
      </c>
      <c r="AC193" s="27"/>
      <c r="AD193" s="5"/>
      <c r="AE193" s="30"/>
      <c r="AF193" s="30"/>
      <c r="AG193" s="5" t="str">
        <f t="shared" si="22"/>
        <v/>
      </c>
    </row>
    <row r="194" spans="3:33" x14ac:dyDescent="0.2">
      <c r="C194" s="77"/>
      <c r="E194" s="29"/>
      <c r="F194" s="29"/>
      <c r="G194" s="5" t="str">
        <f t="shared" si="19"/>
        <v/>
      </c>
      <c r="H194" s="5"/>
      <c r="I194" s="5" t="str">
        <f t="shared" si="17"/>
        <v/>
      </c>
      <c r="K194" s="77"/>
      <c r="L194" s="5"/>
      <c r="M194" s="30"/>
      <c r="N194" s="30"/>
      <c r="O194" s="5" t="str">
        <f t="shared" si="20"/>
        <v/>
      </c>
      <c r="U194" s="77"/>
      <c r="W194" s="29"/>
      <c r="X194" s="29"/>
      <c r="Y194" s="5" t="str">
        <f t="shared" si="21"/>
        <v/>
      </c>
      <c r="Z194" s="5"/>
      <c r="AA194" s="5" t="str">
        <f t="shared" si="18"/>
        <v/>
      </c>
      <c r="AC194" s="27"/>
      <c r="AD194" s="5"/>
      <c r="AE194" s="30"/>
      <c r="AF194" s="30"/>
      <c r="AG194" s="5" t="str">
        <f t="shared" si="22"/>
        <v/>
      </c>
    </row>
    <row r="195" spans="3:33" x14ac:dyDescent="0.2">
      <c r="C195" s="77"/>
      <c r="E195" s="29"/>
      <c r="F195" s="29"/>
      <c r="G195" s="5" t="str">
        <f t="shared" si="19"/>
        <v/>
      </c>
      <c r="H195" s="5"/>
      <c r="I195" s="5" t="str">
        <f t="shared" si="17"/>
        <v/>
      </c>
      <c r="K195" s="77"/>
      <c r="L195" s="5"/>
      <c r="M195" s="30"/>
      <c r="N195" s="30"/>
      <c r="O195" s="5" t="str">
        <f t="shared" si="20"/>
        <v/>
      </c>
      <c r="U195" s="77"/>
      <c r="W195" s="29"/>
      <c r="X195" s="29"/>
      <c r="Y195" s="5" t="str">
        <f t="shared" si="21"/>
        <v/>
      </c>
      <c r="Z195" s="5"/>
      <c r="AA195" s="5" t="str">
        <f t="shared" si="18"/>
        <v/>
      </c>
      <c r="AC195" s="27"/>
      <c r="AD195" s="5"/>
      <c r="AE195" s="30"/>
      <c r="AF195" s="30"/>
      <c r="AG195" s="5" t="str">
        <f t="shared" si="22"/>
        <v/>
      </c>
    </row>
    <row r="196" spans="3:33" x14ac:dyDescent="0.2">
      <c r="C196" s="77"/>
      <c r="E196" s="29"/>
      <c r="F196" s="29"/>
      <c r="G196" s="5" t="str">
        <f t="shared" si="19"/>
        <v/>
      </c>
      <c r="H196" s="5"/>
      <c r="I196" s="5" t="str">
        <f t="shared" si="17"/>
        <v/>
      </c>
      <c r="K196" s="77"/>
      <c r="L196" s="5"/>
      <c r="M196" s="30"/>
      <c r="N196" s="30"/>
      <c r="O196" s="5" t="str">
        <f t="shared" si="20"/>
        <v/>
      </c>
      <c r="U196" s="77"/>
      <c r="W196" s="29"/>
      <c r="X196" s="29"/>
      <c r="Y196" s="5" t="str">
        <f t="shared" si="21"/>
        <v/>
      </c>
      <c r="Z196" s="5"/>
      <c r="AA196" s="5" t="str">
        <f t="shared" si="18"/>
        <v/>
      </c>
      <c r="AC196" s="27"/>
      <c r="AD196" s="5"/>
      <c r="AE196" s="30"/>
      <c r="AF196" s="30"/>
      <c r="AG196" s="5" t="str">
        <f t="shared" si="22"/>
        <v/>
      </c>
    </row>
    <row r="197" spans="3:33" x14ac:dyDescent="0.2">
      <c r="C197" s="77"/>
      <c r="E197" s="29"/>
      <c r="F197" s="29"/>
      <c r="G197" s="5" t="str">
        <f t="shared" si="19"/>
        <v/>
      </c>
      <c r="H197" s="5"/>
      <c r="I197" s="5" t="str">
        <f t="shared" si="17"/>
        <v/>
      </c>
      <c r="K197" s="77"/>
      <c r="L197" s="5"/>
      <c r="M197" s="30"/>
      <c r="N197" s="30"/>
      <c r="O197" s="5" t="str">
        <f t="shared" si="20"/>
        <v/>
      </c>
      <c r="U197" s="77"/>
      <c r="W197" s="29"/>
      <c r="X197" s="29"/>
      <c r="Y197" s="5" t="str">
        <f t="shared" si="21"/>
        <v/>
      </c>
      <c r="Z197" s="5"/>
      <c r="AA197" s="5" t="str">
        <f t="shared" si="18"/>
        <v/>
      </c>
      <c r="AC197" s="27"/>
      <c r="AD197" s="5"/>
      <c r="AE197" s="30"/>
      <c r="AF197" s="30"/>
      <c r="AG197" s="5" t="str">
        <f t="shared" si="22"/>
        <v/>
      </c>
    </row>
    <row r="198" spans="3:33" x14ac:dyDescent="0.2">
      <c r="C198" s="77"/>
      <c r="E198" s="29"/>
      <c r="F198" s="29"/>
      <c r="G198" s="5" t="str">
        <f t="shared" si="19"/>
        <v/>
      </c>
      <c r="H198" s="5"/>
      <c r="I198" s="5" t="str">
        <f t="shared" si="17"/>
        <v/>
      </c>
      <c r="K198" s="77"/>
      <c r="L198" s="5"/>
      <c r="M198" s="30"/>
      <c r="N198" s="30"/>
      <c r="O198" s="5" t="str">
        <f t="shared" si="20"/>
        <v/>
      </c>
      <c r="U198" s="77"/>
      <c r="W198" s="29"/>
      <c r="X198" s="29"/>
      <c r="Y198" s="5" t="str">
        <f t="shared" si="21"/>
        <v/>
      </c>
      <c r="Z198" s="5"/>
      <c r="AA198" s="5" t="str">
        <f t="shared" si="18"/>
        <v/>
      </c>
      <c r="AC198" s="27"/>
      <c r="AD198" s="5"/>
      <c r="AE198" s="30"/>
      <c r="AF198" s="30"/>
      <c r="AG198" s="5" t="str">
        <f t="shared" si="22"/>
        <v/>
      </c>
    </row>
    <row r="199" spans="3:33" x14ac:dyDescent="0.2">
      <c r="C199" s="77"/>
      <c r="E199" s="29"/>
      <c r="F199" s="29"/>
      <c r="G199" s="5" t="str">
        <f t="shared" si="19"/>
        <v/>
      </c>
      <c r="H199" s="5"/>
      <c r="I199" s="5" t="str">
        <f t="shared" si="17"/>
        <v/>
      </c>
      <c r="K199" s="77"/>
      <c r="L199" s="5"/>
      <c r="M199" s="30"/>
      <c r="N199" s="30"/>
      <c r="O199" s="5" t="str">
        <f t="shared" si="20"/>
        <v/>
      </c>
      <c r="U199" s="77"/>
      <c r="W199" s="29"/>
      <c r="X199" s="29"/>
      <c r="Y199" s="5" t="str">
        <f t="shared" si="21"/>
        <v/>
      </c>
      <c r="Z199" s="5"/>
      <c r="AA199" s="5" t="str">
        <f t="shared" si="18"/>
        <v/>
      </c>
      <c r="AC199" s="27"/>
      <c r="AD199" s="5"/>
      <c r="AE199" s="30"/>
      <c r="AF199" s="30"/>
      <c r="AG199" s="5" t="str">
        <f t="shared" si="22"/>
        <v/>
      </c>
    </row>
    <row r="200" spans="3:33" x14ac:dyDescent="0.2">
      <c r="C200" s="77"/>
      <c r="E200" s="29"/>
      <c r="F200" s="29"/>
      <c r="G200" s="5" t="str">
        <f t="shared" si="19"/>
        <v/>
      </c>
      <c r="H200" s="5"/>
      <c r="I200" s="5" t="str">
        <f t="shared" si="17"/>
        <v/>
      </c>
      <c r="K200" s="77"/>
      <c r="L200" s="5"/>
      <c r="M200" s="30"/>
      <c r="N200" s="30"/>
      <c r="O200" s="5" t="str">
        <f t="shared" si="20"/>
        <v/>
      </c>
      <c r="U200" s="77"/>
      <c r="W200" s="29"/>
      <c r="X200" s="29"/>
      <c r="Y200" s="5" t="str">
        <f t="shared" si="21"/>
        <v/>
      </c>
      <c r="Z200" s="5"/>
      <c r="AA200" s="5" t="str">
        <f t="shared" si="18"/>
        <v/>
      </c>
      <c r="AC200" s="27"/>
      <c r="AD200" s="5"/>
      <c r="AE200" s="30"/>
      <c r="AF200" s="30"/>
      <c r="AG200" s="5" t="str">
        <f t="shared" si="22"/>
        <v/>
      </c>
    </row>
    <row r="201" spans="3:33" x14ac:dyDescent="0.2">
      <c r="C201" s="77"/>
      <c r="E201" s="29"/>
      <c r="F201" s="29"/>
      <c r="G201" s="5" t="str">
        <f t="shared" si="19"/>
        <v/>
      </c>
      <c r="H201" s="5"/>
      <c r="I201" s="5" t="str">
        <f t="shared" si="17"/>
        <v/>
      </c>
      <c r="K201" s="77"/>
      <c r="L201" s="5"/>
      <c r="M201" s="30"/>
      <c r="N201" s="30"/>
      <c r="O201" s="5" t="str">
        <f t="shared" si="20"/>
        <v/>
      </c>
      <c r="U201" s="77"/>
      <c r="W201" s="29"/>
      <c r="X201" s="29"/>
      <c r="Y201" s="5" t="str">
        <f t="shared" si="21"/>
        <v/>
      </c>
      <c r="Z201" s="5"/>
      <c r="AA201" s="5" t="str">
        <f t="shared" si="18"/>
        <v/>
      </c>
      <c r="AC201" s="27"/>
      <c r="AD201" s="5"/>
      <c r="AE201" s="30"/>
      <c r="AF201" s="30"/>
      <c r="AG201" s="5" t="str">
        <f t="shared" si="22"/>
        <v/>
      </c>
    </row>
    <row r="202" spans="3:33" x14ac:dyDescent="0.2">
      <c r="C202" s="77"/>
      <c r="E202" s="29"/>
      <c r="F202" s="29"/>
      <c r="G202" s="5" t="str">
        <f t="shared" si="19"/>
        <v/>
      </c>
      <c r="H202" s="5"/>
      <c r="I202" s="5" t="str">
        <f t="shared" si="17"/>
        <v/>
      </c>
      <c r="K202" s="77"/>
      <c r="L202" s="5"/>
      <c r="M202" s="30"/>
      <c r="N202" s="30"/>
      <c r="O202" s="5" t="str">
        <f t="shared" si="20"/>
        <v/>
      </c>
      <c r="U202" s="77"/>
      <c r="W202" s="29"/>
      <c r="X202" s="29"/>
      <c r="Y202" s="5" t="str">
        <f t="shared" si="21"/>
        <v/>
      </c>
      <c r="Z202" s="5"/>
      <c r="AA202" s="5" t="str">
        <f t="shared" si="18"/>
        <v/>
      </c>
      <c r="AC202" s="27"/>
      <c r="AD202" s="5"/>
      <c r="AE202" s="30"/>
      <c r="AF202" s="30"/>
      <c r="AG202" s="5" t="str">
        <f t="shared" si="22"/>
        <v/>
      </c>
    </row>
    <row r="203" spans="3:33" x14ac:dyDescent="0.2">
      <c r="C203" s="77"/>
      <c r="E203" s="29"/>
      <c r="F203" s="29"/>
      <c r="G203" s="5" t="str">
        <f t="shared" si="19"/>
        <v/>
      </c>
      <c r="H203" s="5"/>
      <c r="I203" s="5" t="str">
        <f t="shared" si="17"/>
        <v/>
      </c>
      <c r="K203" s="77"/>
      <c r="L203" s="5"/>
      <c r="M203" s="30"/>
      <c r="N203" s="30"/>
      <c r="O203" s="5" t="str">
        <f t="shared" si="20"/>
        <v/>
      </c>
      <c r="U203" s="77"/>
      <c r="W203" s="29"/>
      <c r="X203" s="29"/>
      <c r="Y203" s="5" t="str">
        <f t="shared" si="21"/>
        <v/>
      </c>
      <c r="Z203" s="5"/>
      <c r="AA203" s="5" t="str">
        <f t="shared" si="18"/>
        <v/>
      </c>
      <c r="AC203" s="27"/>
      <c r="AD203" s="5"/>
      <c r="AE203" s="30"/>
      <c r="AF203" s="30"/>
      <c r="AG203" s="5" t="str">
        <f t="shared" si="22"/>
        <v/>
      </c>
    </row>
    <row r="204" spans="3:33" x14ac:dyDescent="0.2">
      <c r="C204" s="77"/>
      <c r="E204" s="29"/>
      <c r="F204" s="29"/>
      <c r="G204" s="5" t="str">
        <f t="shared" si="19"/>
        <v/>
      </c>
      <c r="H204" s="5"/>
      <c r="I204" s="5" t="str">
        <f t="shared" si="17"/>
        <v/>
      </c>
      <c r="K204" s="77"/>
      <c r="L204" s="5"/>
      <c r="M204" s="30"/>
      <c r="N204" s="30"/>
      <c r="O204" s="5" t="str">
        <f t="shared" si="20"/>
        <v/>
      </c>
      <c r="U204" s="77"/>
      <c r="W204" s="29"/>
      <c r="X204" s="29"/>
      <c r="Y204" s="5" t="str">
        <f t="shared" si="21"/>
        <v/>
      </c>
      <c r="Z204" s="5"/>
      <c r="AA204" s="5" t="str">
        <f t="shared" si="18"/>
        <v/>
      </c>
      <c r="AC204" s="27"/>
      <c r="AD204" s="5"/>
      <c r="AE204" s="30"/>
      <c r="AF204" s="30"/>
      <c r="AG204" s="5" t="str">
        <f t="shared" si="22"/>
        <v/>
      </c>
    </row>
    <row r="205" spans="3:33" x14ac:dyDescent="0.2">
      <c r="C205" s="77"/>
      <c r="E205" s="29"/>
      <c r="F205" s="29"/>
      <c r="G205" s="5" t="str">
        <f t="shared" si="19"/>
        <v/>
      </c>
      <c r="H205" s="5"/>
      <c r="I205" s="5" t="str">
        <f t="shared" si="17"/>
        <v/>
      </c>
      <c r="K205" s="77"/>
      <c r="L205" s="5"/>
      <c r="M205" s="30"/>
      <c r="N205" s="30"/>
      <c r="O205" s="5" t="str">
        <f t="shared" si="20"/>
        <v/>
      </c>
      <c r="U205" s="77"/>
      <c r="W205" s="29"/>
      <c r="X205" s="29"/>
      <c r="Y205" s="5" t="str">
        <f t="shared" si="21"/>
        <v/>
      </c>
      <c r="Z205" s="5"/>
      <c r="AA205" s="5" t="str">
        <f t="shared" si="18"/>
        <v/>
      </c>
      <c r="AC205" s="27"/>
      <c r="AD205" s="5"/>
      <c r="AE205" s="30"/>
      <c r="AF205" s="30"/>
      <c r="AG205" s="5" t="str">
        <f t="shared" si="22"/>
        <v/>
      </c>
    </row>
    <row r="206" spans="3:33" x14ac:dyDescent="0.2">
      <c r="C206" s="77"/>
      <c r="E206" s="29"/>
      <c r="F206" s="29"/>
      <c r="G206" s="5" t="str">
        <f t="shared" si="19"/>
        <v/>
      </c>
      <c r="H206" s="5"/>
      <c r="I206" s="5" t="str">
        <f t="shared" si="17"/>
        <v/>
      </c>
      <c r="K206" s="77"/>
      <c r="L206" s="5"/>
      <c r="M206" s="30"/>
      <c r="N206" s="30"/>
      <c r="O206" s="5" t="str">
        <f t="shared" si="20"/>
        <v/>
      </c>
      <c r="U206" s="77"/>
      <c r="W206" s="29"/>
      <c r="X206" s="29"/>
      <c r="Y206" s="5" t="str">
        <f t="shared" si="21"/>
        <v/>
      </c>
      <c r="Z206" s="5"/>
      <c r="AA206" s="5" t="str">
        <f t="shared" si="18"/>
        <v/>
      </c>
      <c r="AC206" s="27"/>
      <c r="AD206" s="5"/>
      <c r="AE206" s="30"/>
      <c r="AF206" s="30"/>
      <c r="AG206" s="5" t="str">
        <f t="shared" si="22"/>
        <v/>
      </c>
    </row>
    <row r="207" spans="3:33" x14ac:dyDescent="0.2">
      <c r="C207" s="77"/>
      <c r="E207" s="29"/>
      <c r="F207" s="29"/>
      <c r="G207" s="5" t="str">
        <f t="shared" si="19"/>
        <v/>
      </c>
      <c r="H207" s="5"/>
      <c r="I207" s="5" t="str">
        <f t="shared" si="17"/>
        <v/>
      </c>
      <c r="K207" s="77"/>
      <c r="L207" s="5"/>
      <c r="M207" s="30"/>
      <c r="N207" s="30"/>
      <c r="O207" s="5" t="str">
        <f t="shared" si="20"/>
        <v/>
      </c>
      <c r="U207" s="77"/>
      <c r="W207" s="29"/>
      <c r="X207" s="29"/>
      <c r="Y207" s="5" t="str">
        <f t="shared" si="21"/>
        <v/>
      </c>
      <c r="Z207" s="5"/>
      <c r="AA207" s="5" t="str">
        <f t="shared" si="18"/>
        <v/>
      </c>
      <c r="AC207" s="27"/>
      <c r="AD207" s="5"/>
      <c r="AE207" s="30"/>
      <c r="AF207" s="30"/>
      <c r="AG207" s="5" t="str">
        <f t="shared" si="22"/>
        <v/>
      </c>
    </row>
    <row r="208" spans="3:33" x14ac:dyDescent="0.2">
      <c r="C208" s="77"/>
      <c r="E208" s="29"/>
      <c r="F208" s="29"/>
      <c r="G208" s="5" t="str">
        <f t="shared" si="19"/>
        <v/>
      </c>
      <c r="H208" s="5"/>
      <c r="I208" s="5" t="str">
        <f t="shared" si="17"/>
        <v/>
      </c>
      <c r="K208" s="77"/>
      <c r="L208" s="5"/>
      <c r="M208" s="30"/>
      <c r="N208" s="30"/>
      <c r="O208" s="5" t="str">
        <f t="shared" si="20"/>
        <v/>
      </c>
      <c r="U208" s="77"/>
      <c r="W208" s="29"/>
      <c r="X208" s="29"/>
      <c r="Y208" s="5" t="str">
        <f t="shared" si="21"/>
        <v/>
      </c>
      <c r="Z208" s="5"/>
      <c r="AA208" s="5" t="str">
        <f t="shared" si="18"/>
        <v/>
      </c>
      <c r="AC208" s="27"/>
      <c r="AD208" s="5"/>
      <c r="AE208" s="30"/>
      <c r="AF208" s="30"/>
      <c r="AG208" s="5" t="str">
        <f t="shared" si="22"/>
        <v/>
      </c>
    </row>
    <row r="209" spans="3:33" x14ac:dyDescent="0.2">
      <c r="C209" s="77"/>
      <c r="E209" s="29"/>
      <c r="F209" s="29"/>
      <c r="G209" s="5" t="str">
        <f t="shared" si="19"/>
        <v/>
      </c>
      <c r="H209" s="5"/>
      <c r="I209" s="5" t="str">
        <f t="shared" si="17"/>
        <v/>
      </c>
      <c r="K209" s="77"/>
      <c r="L209" s="5"/>
      <c r="M209" s="30"/>
      <c r="N209" s="30"/>
      <c r="O209" s="5" t="str">
        <f t="shared" si="20"/>
        <v/>
      </c>
      <c r="U209" s="77"/>
      <c r="W209" s="29"/>
      <c r="X209" s="29"/>
      <c r="Y209" s="5" t="str">
        <f t="shared" si="21"/>
        <v/>
      </c>
      <c r="Z209" s="5"/>
      <c r="AA209" s="5" t="str">
        <f t="shared" si="18"/>
        <v/>
      </c>
      <c r="AC209" s="27"/>
      <c r="AD209" s="5"/>
      <c r="AE209" s="30"/>
      <c r="AF209" s="30"/>
      <c r="AG209" s="5" t="str">
        <f t="shared" si="22"/>
        <v/>
      </c>
    </row>
    <row r="210" spans="3:33" x14ac:dyDescent="0.2">
      <c r="C210" s="77"/>
      <c r="E210" s="29"/>
      <c r="F210" s="29"/>
      <c r="G210" s="5" t="str">
        <f t="shared" si="19"/>
        <v/>
      </c>
      <c r="H210" s="5"/>
      <c r="I210" s="5" t="str">
        <f t="shared" ref="I210:I273" si="23">IF(L210="","",IFERROR(ABS(VLOOKUP(L210,$L$17:$O$271,4,FALSE)-VLOOKUP(L210,$D$17:$G$271,4,FALSE)),""))</f>
        <v/>
      </c>
      <c r="K210" s="77"/>
      <c r="L210" s="5"/>
      <c r="M210" s="30"/>
      <c r="N210" s="30"/>
      <c r="O210" s="5" t="str">
        <f t="shared" si="20"/>
        <v/>
      </c>
      <c r="U210" s="79"/>
      <c r="W210" s="29"/>
      <c r="X210" s="29"/>
      <c r="Y210" s="5" t="str">
        <f t="shared" si="21"/>
        <v/>
      </c>
      <c r="Z210" s="5"/>
      <c r="AA210" s="5" t="str">
        <f t="shared" ref="AA210:AA273" si="24">IF(AD210="","",IFERROR(ABS(VLOOKUP(AD210,$L$17:$O$271,4,FALSE)-VLOOKUP(AD210,$D$17:$G$271,4,FALSE)),""))</f>
        <v/>
      </c>
      <c r="AC210" s="27"/>
      <c r="AD210" s="5"/>
      <c r="AE210" s="30"/>
      <c r="AF210" s="30"/>
      <c r="AG210" s="5" t="str">
        <f t="shared" si="22"/>
        <v/>
      </c>
    </row>
    <row r="211" spans="3:33" x14ac:dyDescent="0.2">
      <c r="C211" s="77"/>
      <c r="E211" s="29"/>
      <c r="F211" s="29"/>
      <c r="G211" s="5" t="str">
        <f t="shared" si="19"/>
        <v/>
      </c>
      <c r="H211" s="5"/>
      <c r="I211" s="5" t="str">
        <f t="shared" si="23"/>
        <v/>
      </c>
      <c r="K211" s="77"/>
      <c r="L211" s="5"/>
      <c r="M211" s="30"/>
      <c r="N211" s="30"/>
      <c r="O211" s="5" t="str">
        <f t="shared" si="20"/>
        <v/>
      </c>
      <c r="U211" s="79"/>
      <c r="W211" s="29"/>
      <c r="X211" s="29"/>
      <c r="Y211" s="5" t="str">
        <f t="shared" si="21"/>
        <v/>
      </c>
      <c r="Z211" s="5"/>
      <c r="AA211" s="5" t="str">
        <f t="shared" si="24"/>
        <v/>
      </c>
      <c r="AC211" s="27"/>
      <c r="AD211" s="5"/>
      <c r="AE211" s="30"/>
      <c r="AF211" s="30"/>
      <c r="AG211" s="5" t="str">
        <f t="shared" si="22"/>
        <v/>
      </c>
    </row>
    <row r="212" spans="3:33" x14ac:dyDescent="0.2">
      <c r="C212" s="77"/>
      <c r="E212" s="29"/>
      <c r="F212" s="29"/>
      <c r="G212" s="5" t="str">
        <f t="shared" ref="G212:G275" si="25">IF(C212="","",IF(OR(G211="KILL",G211=""),"",IF(COUNTIF(E210:E212, 0) = 2, "Kill",IF(E212&gt;0,(E212+F212)/2,"Omit"))))</f>
        <v/>
      </c>
      <c r="H212" s="5"/>
      <c r="I212" s="5" t="str">
        <f t="shared" si="23"/>
        <v/>
      </c>
      <c r="K212" s="77"/>
      <c r="L212" s="5"/>
      <c r="M212" s="30"/>
      <c r="N212" s="30"/>
      <c r="O212" s="5" t="str">
        <f t="shared" ref="O212:O275" si="26">IF(K212="","",IF(OR(O211="KILL",O211=""),"",IF(COUNTIF(M210:M212, 0) = 2, "Kill",IF(M212&gt;0,(M212+N212)/2,"Omit"))))</f>
        <v/>
      </c>
      <c r="U212" s="79"/>
      <c r="W212" s="29"/>
      <c r="X212" s="29"/>
      <c r="Y212" s="5" t="str">
        <f t="shared" ref="Y212:Y275" si="27">IF(U212="","",IF(OR(Y211="KILL",Y211=""),"",IF(COUNTIF(W210:W212, 0) = 2, "Kill",IF(W212&gt;0,(W212+X212)/2,"Omit"))))</f>
        <v/>
      </c>
      <c r="Z212" s="5"/>
      <c r="AA212" s="5" t="str">
        <f t="shared" si="24"/>
        <v/>
      </c>
      <c r="AC212" s="27"/>
      <c r="AD212" s="5"/>
      <c r="AE212" s="30"/>
      <c r="AF212" s="30"/>
      <c r="AG212" s="5" t="str">
        <f t="shared" ref="AG212:AG275" si="28">IF(AC212="","",IF(OR(AG211="KILL",AG211=""),"",IF(COUNTIF(AE210:AE212, 0) = 2, "Kill",IF(AE212&gt;0,(AE212+AF212)/2,"Omit"))))</f>
        <v/>
      </c>
    </row>
    <row r="213" spans="3:33" x14ac:dyDescent="0.2">
      <c r="C213" s="77"/>
      <c r="E213" s="29"/>
      <c r="F213" s="29"/>
      <c r="G213" s="5" t="str">
        <f t="shared" si="25"/>
        <v/>
      </c>
      <c r="H213" s="5"/>
      <c r="I213" s="5" t="str">
        <f t="shared" si="23"/>
        <v/>
      </c>
      <c r="K213" s="77"/>
      <c r="L213" s="5"/>
      <c r="M213" s="30"/>
      <c r="N213" s="30"/>
      <c r="O213" s="5" t="str">
        <f t="shared" si="26"/>
        <v/>
      </c>
      <c r="U213" s="79"/>
      <c r="W213" s="29"/>
      <c r="X213" s="29"/>
      <c r="Y213" s="5" t="str">
        <f t="shared" si="27"/>
        <v/>
      </c>
      <c r="Z213" s="5"/>
      <c r="AA213" s="5" t="str">
        <f t="shared" si="24"/>
        <v/>
      </c>
      <c r="AC213" s="27"/>
      <c r="AD213" s="5"/>
      <c r="AE213" s="30"/>
      <c r="AF213" s="30"/>
      <c r="AG213" s="5" t="str">
        <f t="shared" si="28"/>
        <v/>
      </c>
    </row>
    <row r="214" spans="3:33" x14ac:dyDescent="0.2">
      <c r="C214" s="77"/>
      <c r="E214" s="29"/>
      <c r="F214" s="29"/>
      <c r="G214" s="5" t="str">
        <f t="shared" si="25"/>
        <v/>
      </c>
      <c r="H214" s="5"/>
      <c r="I214" s="5" t="str">
        <f t="shared" si="23"/>
        <v/>
      </c>
      <c r="K214" s="77"/>
      <c r="L214" s="5"/>
      <c r="M214" s="30"/>
      <c r="N214" s="30"/>
      <c r="O214" s="5" t="str">
        <f t="shared" si="26"/>
        <v/>
      </c>
      <c r="U214" s="79"/>
      <c r="W214" s="29"/>
      <c r="X214" s="29"/>
      <c r="Y214" s="5" t="str">
        <f t="shared" si="27"/>
        <v/>
      </c>
      <c r="Z214" s="5"/>
      <c r="AA214" s="5" t="str">
        <f t="shared" si="24"/>
        <v/>
      </c>
      <c r="AC214" s="27"/>
      <c r="AD214" s="5"/>
      <c r="AE214" s="30"/>
      <c r="AF214" s="30"/>
      <c r="AG214" s="5" t="str">
        <f t="shared" si="28"/>
        <v/>
      </c>
    </row>
    <row r="215" spans="3:33" x14ac:dyDescent="0.2">
      <c r="C215" s="77"/>
      <c r="E215" s="29"/>
      <c r="F215" s="29"/>
      <c r="G215" s="5" t="str">
        <f t="shared" si="25"/>
        <v/>
      </c>
      <c r="H215" s="5"/>
      <c r="I215" s="5" t="str">
        <f t="shared" si="23"/>
        <v/>
      </c>
      <c r="K215" s="77"/>
      <c r="L215" s="5"/>
      <c r="M215" s="30"/>
      <c r="N215" s="30"/>
      <c r="O215" s="5" t="str">
        <f t="shared" si="26"/>
        <v/>
      </c>
      <c r="U215" s="79"/>
      <c r="W215" s="29"/>
      <c r="X215" s="29"/>
      <c r="Y215" s="5" t="str">
        <f t="shared" si="27"/>
        <v/>
      </c>
      <c r="Z215" s="5"/>
      <c r="AA215" s="5" t="str">
        <f t="shared" si="24"/>
        <v/>
      </c>
      <c r="AC215" s="27"/>
      <c r="AD215" s="5"/>
      <c r="AE215" s="30"/>
      <c r="AF215" s="30"/>
      <c r="AG215" s="5" t="str">
        <f t="shared" si="28"/>
        <v/>
      </c>
    </row>
    <row r="216" spans="3:33" x14ac:dyDescent="0.2">
      <c r="C216" s="77"/>
      <c r="E216" s="29"/>
      <c r="F216" s="29"/>
      <c r="G216" s="5" t="str">
        <f t="shared" si="25"/>
        <v/>
      </c>
      <c r="H216" s="5"/>
      <c r="I216" s="5" t="str">
        <f t="shared" si="23"/>
        <v/>
      </c>
      <c r="K216" s="77"/>
      <c r="L216" s="5"/>
      <c r="M216" s="30"/>
      <c r="N216" s="30"/>
      <c r="O216" s="5" t="str">
        <f t="shared" si="26"/>
        <v/>
      </c>
      <c r="U216" s="79"/>
      <c r="W216" s="29"/>
      <c r="X216" s="29"/>
      <c r="Y216" s="5" t="str">
        <f t="shared" si="27"/>
        <v/>
      </c>
      <c r="Z216" s="5"/>
      <c r="AA216" s="5" t="str">
        <f t="shared" si="24"/>
        <v/>
      </c>
      <c r="AC216" s="27"/>
      <c r="AD216" s="5"/>
      <c r="AE216" s="30"/>
      <c r="AF216" s="30"/>
      <c r="AG216" s="5" t="str">
        <f t="shared" si="28"/>
        <v/>
      </c>
    </row>
    <row r="217" spans="3:33" x14ac:dyDescent="0.2">
      <c r="C217" s="77"/>
      <c r="E217" s="29"/>
      <c r="F217" s="29"/>
      <c r="G217" s="5" t="str">
        <f t="shared" si="25"/>
        <v/>
      </c>
      <c r="H217" s="5"/>
      <c r="I217" s="5" t="str">
        <f t="shared" si="23"/>
        <v/>
      </c>
      <c r="K217" s="77"/>
      <c r="L217" s="5"/>
      <c r="M217" s="30"/>
      <c r="N217" s="30"/>
      <c r="O217" s="5" t="str">
        <f t="shared" si="26"/>
        <v/>
      </c>
      <c r="U217" s="79"/>
      <c r="W217" s="29"/>
      <c r="X217" s="29"/>
      <c r="Y217" s="5" t="str">
        <f t="shared" si="27"/>
        <v/>
      </c>
      <c r="Z217" s="5"/>
      <c r="AA217" s="5" t="str">
        <f t="shared" si="24"/>
        <v/>
      </c>
      <c r="AC217" s="27"/>
      <c r="AD217" s="5"/>
      <c r="AE217" s="30"/>
      <c r="AF217" s="30"/>
      <c r="AG217" s="5" t="str">
        <f t="shared" si="28"/>
        <v/>
      </c>
    </row>
    <row r="218" spans="3:33" x14ac:dyDescent="0.2">
      <c r="C218" s="77"/>
      <c r="E218" s="29"/>
      <c r="F218" s="29"/>
      <c r="G218" s="5" t="str">
        <f t="shared" si="25"/>
        <v/>
      </c>
      <c r="H218" s="5"/>
      <c r="I218" s="5" t="str">
        <f t="shared" si="23"/>
        <v/>
      </c>
      <c r="K218" s="77"/>
      <c r="L218" s="5"/>
      <c r="M218" s="30"/>
      <c r="N218" s="30"/>
      <c r="O218" s="5" t="str">
        <f t="shared" si="26"/>
        <v/>
      </c>
      <c r="U218" s="79"/>
      <c r="W218" s="29"/>
      <c r="X218" s="29"/>
      <c r="Y218" s="5" t="str">
        <f t="shared" si="27"/>
        <v/>
      </c>
      <c r="Z218" s="5"/>
      <c r="AA218" s="5" t="str">
        <f t="shared" si="24"/>
        <v/>
      </c>
      <c r="AC218" s="27"/>
      <c r="AD218" s="5"/>
      <c r="AE218" s="30"/>
      <c r="AF218" s="30"/>
      <c r="AG218" s="5" t="str">
        <f t="shared" si="28"/>
        <v/>
      </c>
    </row>
    <row r="219" spans="3:33" x14ac:dyDescent="0.2">
      <c r="C219" s="77"/>
      <c r="E219" s="29"/>
      <c r="F219" s="29"/>
      <c r="G219" s="5" t="str">
        <f t="shared" si="25"/>
        <v/>
      </c>
      <c r="H219" s="5"/>
      <c r="I219" s="5" t="str">
        <f t="shared" si="23"/>
        <v/>
      </c>
      <c r="K219" s="77"/>
      <c r="L219" s="5"/>
      <c r="M219" s="30"/>
      <c r="N219" s="30"/>
      <c r="O219" s="5" t="str">
        <f t="shared" si="26"/>
        <v/>
      </c>
      <c r="U219" s="79"/>
      <c r="W219" s="29"/>
      <c r="X219" s="29"/>
      <c r="Y219" s="5" t="str">
        <f t="shared" si="27"/>
        <v/>
      </c>
      <c r="Z219" s="5"/>
      <c r="AA219" s="5" t="str">
        <f t="shared" si="24"/>
        <v/>
      </c>
      <c r="AC219" s="27"/>
      <c r="AD219" s="5"/>
      <c r="AE219" s="30"/>
      <c r="AF219" s="30"/>
      <c r="AG219" s="5" t="str">
        <f t="shared" si="28"/>
        <v/>
      </c>
    </row>
    <row r="220" spans="3:33" x14ac:dyDescent="0.2">
      <c r="C220" s="77"/>
      <c r="E220" s="29"/>
      <c r="F220" s="29"/>
      <c r="G220" s="5" t="str">
        <f t="shared" si="25"/>
        <v/>
      </c>
      <c r="H220" s="5"/>
      <c r="I220" s="5" t="str">
        <f t="shared" si="23"/>
        <v/>
      </c>
      <c r="K220" s="77"/>
      <c r="L220" s="5"/>
      <c r="M220" s="30"/>
      <c r="N220" s="30"/>
      <c r="O220" s="5" t="str">
        <f t="shared" si="26"/>
        <v/>
      </c>
      <c r="U220" s="79"/>
      <c r="W220" s="29"/>
      <c r="X220" s="29"/>
      <c r="Y220" s="5" t="str">
        <f t="shared" si="27"/>
        <v/>
      </c>
      <c r="Z220" s="5"/>
      <c r="AA220" s="5" t="str">
        <f t="shared" si="24"/>
        <v/>
      </c>
      <c r="AC220" s="27"/>
      <c r="AD220" s="5"/>
      <c r="AE220" s="30"/>
      <c r="AF220" s="30"/>
      <c r="AG220" s="5" t="str">
        <f t="shared" si="28"/>
        <v/>
      </c>
    </row>
    <row r="221" spans="3:33" x14ac:dyDescent="0.2">
      <c r="C221" s="77"/>
      <c r="E221" s="29"/>
      <c r="F221" s="29"/>
      <c r="G221" s="5" t="str">
        <f t="shared" si="25"/>
        <v/>
      </c>
      <c r="H221" s="5"/>
      <c r="I221" s="5" t="str">
        <f t="shared" si="23"/>
        <v/>
      </c>
      <c r="K221" s="77"/>
      <c r="L221" s="5"/>
      <c r="M221" s="30"/>
      <c r="N221" s="30"/>
      <c r="O221" s="5" t="str">
        <f t="shared" si="26"/>
        <v/>
      </c>
      <c r="U221" s="79"/>
      <c r="W221" s="29"/>
      <c r="X221" s="29"/>
      <c r="Y221" s="5" t="str">
        <f t="shared" si="27"/>
        <v/>
      </c>
      <c r="Z221" s="5"/>
      <c r="AA221" s="5" t="str">
        <f t="shared" si="24"/>
        <v/>
      </c>
      <c r="AC221" s="27"/>
      <c r="AD221" s="5"/>
      <c r="AE221" s="30"/>
      <c r="AF221" s="30"/>
      <c r="AG221" s="5" t="str">
        <f t="shared" si="28"/>
        <v/>
      </c>
    </row>
    <row r="222" spans="3:33" x14ac:dyDescent="0.2">
      <c r="C222" s="77"/>
      <c r="E222" s="29"/>
      <c r="F222" s="29"/>
      <c r="G222" s="5" t="str">
        <f t="shared" si="25"/>
        <v/>
      </c>
      <c r="H222" s="5"/>
      <c r="I222" s="5" t="str">
        <f t="shared" si="23"/>
        <v/>
      </c>
      <c r="K222" s="77"/>
      <c r="L222" s="5"/>
      <c r="M222" s="30"/>
      <c r="N222" s="30"/>
      <c r="O222" s="5" t="str">
        <f t="shared" si="26"/>
        <v/>
      </c>
      <c r="U222" s="79"/>
      <c r="W222" s="29"/>
      <c r="X222" s="29"/>
      <c r="Y222" s="5" t="str">
        <f t="shared" si="27"/>
        <v/>
      </c>
      <c r="Z222" s="5"/>
      <c r="AA222" s="5" t="str">
        <f t="shared" si="24"/>
        <v/>
      </c>
      <c r="AC222" s="27"/>
      <c r="AD222" s="5"/>
      <c r="AE222" s="30"/>
      <c r="AF222" s="30"/>
      <c r="AG222" s="5" t="str">
        <f t="shared" si="28"/>
        <v/>
      </c>
    </row>
    <row r="223" spans="3:33" x14ac:dyDescent="0.2">
      <c r="C223" s="77"/>
      <c r="E223" s="29"/>
      <c r="F223" s="29"/>
      <c r="G223" s="5" t="str">
        <f t="shared" si="25"/>
        <v/>
      </c>
      <c r="H223" s="5"/>
      <c r="I223" s="5" t="str">
        <f t="shared" si="23"/>
        <v/>
      </c>
      <c r="K223" s="77"/>
      <c r="L223" s="5"/>
      <c r="M223" s="30"/>
      <c r="N223" s="30"/>
      <c r="O223" s="5" t="str">
        <f t="shared" si="26"/>
        <v/>
      </c>
      <c r="U223" s="79"/>
      <c r="W223" s="29"/>
      <c r="X223" s="29"/>
      <c r="Y223" s="5" t="str">
        <f t="shared" si="27"/>
        <v/>
      </c>
      <c r="Z223" s="5"/>
      <c r="AA223" s="5" t="str">
        <f t="shared" si="24"/>
        <v/>
      </c>
      <c r="AC223" s="27"/>
      <c r="AD223" s="5"/>
      <c r="AE223" s="30"/>
      <c r="AF223" s="30"/>
      <c r="AG223" s="5" t="str">
        <f t="shared" si="28"/>
        <v/>
      </c>
    </row>
    <row r="224" spans="3:33" x14ac:dyDescent="0.2">
      <c r="C224" s="77"/>
      <c r="E224" s="29"/>
      <c r="F224" s="29"/>
      <c r="G224" s="5" t="str">
        <f t="shared" si="25"/>
        <v/>
      </c>
      <c r="H224" s="5"/>
      <c r="I224" s="5" t="str">
        <f t="shared" si="23"/>
        <v/>
      </c>
      <c r="K224" s="77"/>
      <c r="L224" s="5"/>
      <c r="M224" s="30"/>
      <c r="N224" s="30"/>
      <c r="O224" s="5" t="str">
        <f t="shared" si="26"/>
        <v/>
      </c>
      <c r="U224" s="79"/>
      <c r="W224" s="29"/>
      <c r="X224" s="29"/>
      <c r="Y224" s="5" t="str">
        <f t="shared" si="27"/>
        <v/>
      </c>
      <c r="Z224" s="5"/>
      <c r="AA224" s="5" t="str">
        <f t="shared" si="24"/>
        <v/>
      </c>
      <c r="AC224" s="27"/>
      <c r="AD224" s="5"/>
      <c r="AE224" s="30"/>
      <c r="AF224" s="30"/>
      <c r="AG224" s="5" t="str">
        <f t="shared" si="28"/>
        <v/>
      </c>
    </row>
    <row r="225" spans="3:33" x14ac:dyDescent="0.2">
      <c r="C225" s="77"/>
      <c r="E225" s="29"/>
      <c r="F225" s="29"/>
      <c r="G225" s="5" t="str">
        <f t="shared" si="25"/>
        <v/>
      </c>
      <c r="H225" s="5"/>
      <c r="I225" s="5" t="str">
        <f t="shared" si="23"/>
        <v/>
      </c>
      <c r="K225" s="77"/>
      <c r="L225" s="5"/>
      <c r="M225" s="30"/>
      <c r="N225" s="30"/>
      <c r="O225" s="5" t="str">
        <f t="shared" si="26"/>
        <v/>
      </c>
      <c r="U225" s="79"/>
      <c r="W225" s="29"/>
      <c r="X225" s="29"/>
      <c r="Y225" s="5" t="str">
        <f t="shared" si="27"/>
        <v/>
      </c>
      <c r="Z225" s="5"/>
      <c r="AA225" s="5" t="str">
        <f t="shared" si="24"/>
        <v/>
      </c>
      <c r="AC225" s="27"/>
      <c r="AD225" s="5"/>
      <c r="AE225" s="30"/>
      <c r="AF225" s="30"/>
      <c r="AG225" s="5" t="str">
        <f t="shared" si="28"/>
        <v/>
      </c>
    </row>
    <row r="226" spans="3:33" x14ac:dyDescent="0.2">
      <c r="C226" s="77"/>
      <c r="E226" s="29"/>
      <c r="F226" s="29"/>
      <c r="G226" s="5" t="str">
        <f t="shared" si="25"/>
        <v/>
      </c>
      <c r="H226" s="5"/>
      <c r="I226" s="5" t="str">
        <f t="shared" si="23"/>
        <v/>
      </c>
      <c r="K226" s="77"/>
      <c r="L226" s="5"/>
      <c r="M226" s="30"/>
      <c r="N226" s="30"/>
      <c r="O226" s="5" t="str">
        <f t="shared" si="26"/>
        <v/>
      </c>
      <c r="U226" s="79"/>
      <c r="W226" s="29"/>
      <c r="X226" s="29"/>
      <c r="Y226" s="5" t="str">
        <f t="shared" si="27"/>
        <v/>
      </c>
      <c r="Z226" s="5"/>
      <c r="AA226" s="5" t="str">
        <f t="shared" si="24"/>
        <v/>
      </c>
      <c r="AC226" s="27"/>
      <c r="AD226" s="5"/>
      <c r="AE226" s="30"/>
      <c r="AF226" s="30"/>
      <c r="AG226" s="5" t="str">
        <f t="shared" si="28"/>
        <v/>
      </c>
    </row>
    <row r="227" spans="3:33" x14ac:dyDescent="0.2">
      <c r="C227" s="77"/>
      <c r="E227" s="29"/>
      <c r="F227" s="29"/>
      <c r="G227" s="5" t="str">
        <f t="shared" si="25"/>
        <v/>
      </c>
      <c r="H227" s="5"/>
      <c r="I227" s="5" t="str">
        <f t="shared" si="23"/>
        <v/>
      </c>
      <c r="K227" s="77"/>
      <c r="L227" s="5"/>
      <c r="M227" s="30"/>
      <c r="N227" s="30"/>
      <c r="O227" s="5" t="str">
        <f t="shared" si="26"/>
        <v/>
      </c>
      <c r="U227" s="79"/>
      <c r="W227" s="29"/>
      <c r="X227" s="29"/>
      <c r="Y227" s="5" t="str">
        <f t="shared" si="27"/>
        <v/>
      </c>
      <c r="Z227" s="5"/>
      <c r="AA227" s="5" t="str">
        <f t="shared" si="24"/>
        <v/>
      </c>
      <c r="AC227" s="27"/>
      <c r="AD227" s="5"/>
      <c r="AE227" s="30"/>
      <c r="AF227" s="30"/>
      <c r="AG227" s="5" t="str">
        <f t="shared" si="28"/>
        <v/>
      </c>
    </row>
    <row r="228" spans="3:33" x14ac:dyDescent="0.2">
      <c r="C228" s="77"/>
      <c r="E228" s="29"/>
      <c r="F228" s="29"/>
      <c r="G228" s="5" t="str">
        <f t="shared" si="25"/>
        <v/>
      </c>
      <c r="H228" s="5"/>
      <c r="I228" s="5" t="str">
        <f t="shared" si="23"/>
        <v/>
      </c>
      <c r="K228" s="77"/>
      <c r="L228" s="5"/>
      <c r="M228" s="30"/>
      <c r="N228" s="30"/>
      <c r="O228" s="5" t="str">
        <f t="shared" si="26"/>
        <v/>
      </c>
      <c r="U228" s="79"/>
      <c r="W228" s="29"/>
      <c r="X228" s="29"/>
      <c r="Y228" s="5" t="str">
        <f t="shared" si="27"/>
        <v/>
      </c>
      <c r="Z228" s="5"/>
      <c r="AA228" s="5" t="str">
        <f t="shared" si="24"/>
        <v/>
      </c>
      <c r="AC228" s="27"/>
      <c r="AD228" s="5"/>
      <c r="AE228" s="30"/>
      <c r="AF228" s="30"/>
      <c r="AG228" s="5" t="str">
        <f t="shared" si="28"/>
        <v/>
      </c>
    </row>
    <row r="229" spans="3:33" x14ac:dyDescent="0.2">
      <c r="C229" s="77"/>
      <c r="E229" s="29"/>
      <c r="F229" s="29"/>
      <c r="G229" s="5" t="str">
        <f t="shared" si="25"/>
        <v/>
      </c>
      <c r="H229" s="5"/>
      <c r="I229" s="5" t="str">
        <f t="shared" si="23"/>
        <v/>
      </c>
      <c r="K229" s="77"/>
      <c r="L229" s="5"/>
      <c r="M229" s="30"/>
      <c r="N229" s="30"/>
      <c r="O229" s="5" t="str">
        <f t="shared" si="26"/>
        <v/>
      </c>
      <c r="U229" s="79"/>
      <c r="W229" s="29"/>
      <c r="X229" s="29"/>
      <c r="Y229" s="5" t="str">
        <f t="shared" si="27"/>
        <v/>
      </c>
      <c r="Z229" s="5"/>
      <c r="AA229" s="5" t="str">
        <f t="shared" si="24"/>
        <v/>
      </c>
      <c r="AC229" s="27"/>
      <c r="AD229" s="5"/>
      <c r="AE229" s="30"/>
      <c r="AF229" s="30"/>
      <c r="AG229" s="5" t="str">
        <f t="shared" si="28"/>
        <v/>
      </c>
    </row>
    <row r="230" spans="3:33" x14ac:dyDescent="0.2">
      <c r="C230" s="77"/>
      <c r="E230" s="29"/>
      <c r="F230" s="29"/>
      <c r="G230" s="5" t="str">
        <f t="shared" si="25"/>
        <v/>
      </c>
      <c r="H230" s="5"/>
      <c r="I230" s="5" t="str">
        <f t="shared" si="23"/>
        <v/>
      </c>
      <c r="K230" s="77"/>
      <c r="L230" s="5"/>
      <c r="M230" s="30"/>
      <c r="N230" s="30"/>
      <c r="O230" s="5" t="str">
        <f t="shared" si="26"/>
        <v/>
      </c>
      <c r="U230" s="79"/>
      <c r="W230" s="29"/>
      <c r="X230" s="29"/>
      <c r="Y230" s="5" t="str">
        <f t="shared" si="27"/>
        <v/>
      </c>
      <c r="Z230" s="5"/>
      <c r="AA230" s="5" t="str">
        <f t="shared" si="24"/>
        <v/>
      </c>
      <c r="AC230" s="27"/>
      <c r="AD230" s="5"/>
      <c r="AE230" s="30"/>
      <c r="AF230" s="30"/>
      <c r="AG230" s="5" t="str">
        <f t="shared" si="28"/>
        <v/>
      </c>
    </row>
    <row r="231" spans="3:33" x14ac:dyDescent="0.2">
      <c r="C231" s="77"/>
      <c r="E231" s="29"/>
      <c r="F231" s="29"/>
      <c r="G231" s="5" t="str">
        <f t="shared" si="25"/>
        <v/>
      </c>
      <c r="H231" s="5"/>
      <c r="I231" s="5" t="str">
        <f t="shared" si="23"/>
        <v/>
      </c>
      <c r="K231" s="77"/>
      <c r="L231" s="5"/>
      <c r="M231" s="30"/>
      <c r="N231" s="30"/>
      <c r="O231" s="5" t="str">
        <f t="shared" si="26"/>
        <v/>
      </c>
      <c r="U231" s="79"/>
      <c r="W231" s="29"/>
      <c r="X231" s="29"/>
      <c r="Y231" s="5" t="str">
        <f t="shared" si="27"/>
        <v/>
      </c>
      <c r="Z231" s="5"/>
      <c r="AA231" s="5" t="str">
        <f t="shared" si="24"/>
        <v/>
      </c>
      <c r="AC231" s="27"/>
      <c r="AD231" s="5"/>
      <c r="AE231" s="30"/>
      <c r="AF231" s="30"/>
      <c r="AG231" s="5" t="str">
        <f t="shared" si="28"/>
        <v/>
      </c>
    </row>
    <row r="232" spans="3:33" x14ac:dyDescent="0.2">
      <c r="C232" s="77"/>
      <c r="E232" s="29"/>
      <c r="F232" s="29"/>
      <c r="G232" s="5" t="str">
        <f t="shared" si="25"/>
        <v/>
      </c>
      <c r="H232" s="5"/>
      <c r="I232" s="5" t="str">
        <f t="shared" si="23"/>
        <v/>
      </c>
      <c r="K232" s="77"/>
      <c r="L232" s="5"/>
      <c r="M232" s="30"/>
      <c r="N232" s="30"/>
      <c r="O232" s="5" t="str">
        <f t="shared" si="26"/>
        <v/>
      </c>
      <c r="U232" s="79"/>
      <c r="W232" s="29"/>
      <c r="X232" s="29"/>
      <c r="Y232" s="5" t="str">
        <f t="shared" si="27"/>
        <v/>
      </c>
      <c r="Z232" s="5"/>
      <c r="AA232" s="5" t="str">
        <f t="shared" si="24"/>
        <v/>
      </c>
      <c r="AC232" s="27"/>
      <c r="AD232" s="5"/>
      <c r="AE232" s="30"/>
      <c r="AF232" s="30"/>
      <c r="AG232" s="5" t="str">
        <f t="shared" si="28"/>
        <v/>
      </c>
    </row>
    <row r="233" spans="3:33" x14ac:dyDescent="0.2">
      <c r="C233" s="77"/>
      <c r="E233" s="29"/>
      <c r="F233" s="29"/>
      <c r="G233" s="5" t="str">
        <f t="shared" si="25"/>
        <v/>
      </c>
      <c r="H233" s="5"/>
      <c r="I233" s="5" t="str">
        <f t="shared" si="23"/>
        <v/>
      </c>
      <c r="K233" s="77"/>
      <c r="L233" s="5"/>
      <c r="M233" s="30"/>
      <c r="N233" s="30"/>
      <c r="O233" s="5" t="str">
        <f t="shared" si="26"/>
        <v/>
      </c>
      <c r="U233" s="79"/>
      <c r="W233" s="29"/>
      <c r="X233" s="29"/>
      <c r="Y233" s="5" t="str">
        <f t="shared" si="27"/>
        <v/>
      </c>
      <c r="Z233" s="5"/>
      <c r="AA233" s="5" t="str">
        <f t="shared" si="24"/>
        <v/>
      </c>
      <c r="AC233" s="27"/>
      <c r="AD233" s="5"/>
      <c r="AE233" s="30"/>
      <c r="AF233" s="30"/>
      <c r="AG233" s="5" t="str">
        <f t="shared" si="28"/>
        <v/>
      </c>
    </row>
    <row r="234" spans="3:33" x14ac:dyDescent="0.2">
      <c r="C234" s="77"/>
      <c r="E234" s="29"/>
      <c r="F234" s="29"/>
      <c r="G234" s="5" t="str">
        <f t="shared" si="25"/>
        <v/>
      </c>
      <c r="H234" s="5"/>
      <c r="I234" s="5" t="str">
        <f t="shared" si="23"/>
        <v/>
      </c>
      <c r="K234" s="77"/>
      <c r="L234" s="5"/>
      <c r="M234" s="30"/>
      <c r="N234" s="30"/>
      <c r="O234" s="5" t="str">
        <f t="shared" si="26"/>
        <v/>
      </c>
      <c r="U234" s="79"/>
      <c r="W234" s="29"/>
      <c r="X234" s="29"/>
      <c r="Y234" s="5" t="str">
        <f t="shared" si="27"/>
        <v/>
      </c>
      <c r="Z234" s="5"/>
      <c r="AA234" s="5" t="str">
        <f t="shared" si="24"/>
        <v/>
      </c>
      <c r="AC234" s="27"/>
      <c r="AD234" s="5"/>
      <c r="AE234" s="30"/>
      <c r="AF234" s="30"/>
      <c r="AG234" s="5" t="str">
        <f t="shared" si="28"/>
        <v/>
      </c>
    </row>
    <row r="235" spans="3:33" x14ac:dyDescent="0.2">
      <c r="C235" s="77"/>
      <c r="E235" s="29"/>
      <c r="F235" s="29"/>
      <c r="G235" s="5" t="str">
        <f t="shared" si="25"/>
        <v/>
      </c>
      <c r="H235" s="5"/>
      <c r="I235" s="5" t="str">
        <f t="shared" si="23"/>
        <v/>
      </c>
      <c r="K235" s="77"/>
      <c r="L235" s="5"/>
      <c r="M235" s="30"/>
      <c r="N235" s="30"/>
      <c r="O235" s="5" t="str">
        <f t="shared" si="26"/>
        <v/>
      </c>
      <c r="U235" s="79"/>
      <c r="W235" s="29"/>
      <c r="X235" s="29"/>
      <c r="Y235" s="5" t="str">
        <f t="shared" si="27"/>
        <v/>
      </c>
      <c r="Z235" s="5"/>
      <c r="AA235" s="5" t="str">
        <f t="shared" si="24"/>
        <v/>
      </c>
      <c r="AC235" s="27"/>
      <c r="AD235" s="5"/>
      <c r="AE235" s="30"/>
      <c r="AF235" s="30"/>
      <c r="AG235" s="5" t="str">
        <f t="shared" si="28"/>
        <v/>
      </c>
    </row>
    <row r="236" spans="3:33" x14ac:dyDescent="0.2">
      <c r="C236" s="77"/>
      <c r="E236" s="29"/>
      <c r="F236" s="29"/>
      <c r="G236" s="5" t="str">
        <f t="shared" si="25"/>
        <v/>
      </c>
      <c r="H236" s="5"/>
      <c r="I236" s="5" t="str">
        <f t="shared" si="23"/>
        <v/>
      </c>
      <c r="K236" s="77"/>
      <c r="L236" s="5"/>
      <c r="M236" s="30"/>
      <c r="N236" s="30"/>
      <c r="O236" s="5" t="str">
        <f t="shared" si="26"/>
        <v/>
      </c>
      <c r="U236" s="79"/>
      <c r="W236" s="29"/>
      <c r="X236" s="29"/>
      <c r="Y236" s="5" t="str">
        <f t="shared" si="27"/>
        <v/>
      </c>
      <c r="Z236" s="5"/>
      <c r="AA236" s="5" t="str">
        <f t="shared" si="24"/>
        <v/>
      </c>
      <c r="AC236" s="27"/>
      <c r="AD236" s="5"/>
      <c r="AE236" s="30"/>
      <c r="AF236" s="30"/>
      <c r="AG236" s="5" t="str">
        <f t="shared" si="28"/>
        <v/>
      </c>
    </row>
    <row r="237" spans="3:33" x14ac:dyDescent="0.2">
      <c r="C237" s="77"/>
      <c r="E237" s="29"/>
      <c r="F237" s="29"/>
      <c r="G237" s="5" t="str">
        <f t="shared" si="25"/>
        <v/>
      </c>
      <c r="H237" s="5"/>
      <c r="I237" s="5" t="str">
        <f t="shared" si="23"/>
        <v/>
      </c>
      <c r="K237" s="77"/>
      <c r="L237" s="5"/>
      <c r="M237" s="30"/>
      <c r="N237" s="30"/>
      <c r="O237" s="5" t="str">
        <f t="shared" si="26"/>
        <v/>
      </c>
      <c r="U237" s="79"/>
      <c r="W237" s="29"/>
      <c r="X237" s="29"/>
      <c r="Y237" s="5" t="str">
        <f t="shared" si="27"/>
        <v/>
      </c>
      <c r="Z237" s="5"/>
      <c r="AA237" s="5" t="str">
        <f t="shared" si="24"/>
        <v/>
      </c>
      <c r="AC237" s="27"/>
      <c r="AD237" s="5"/>
      <c r="AE237" s="30"/>
      <c r="AF237" s="30"/>
      <c r="AG237" s="5" t="str">
        <f t="shared" si="28"/>
        <v/>
      </c>
    </row>
    <row r="238" spans="3:33" x14ac:dyDescent="0.2">
      <c r="C238" s="77"/>
      <c r="E238" s="29"/>
      <c r="F238" s="29"/>
      <c r="G238" s="5" t="str">
        <f t="shared" si="25"/>
        <v/>
      </c>
      <c r="H238" s="5"/>
      <c r="I238" s="5" t="str">
        <f t="shared" si="23"/>
        <v/>
      </c>
      <c r="K238" s="77"/>
      <c r="L238" s="5"/>
      <c r="M238" s="30"/>
      <c r="N238" s="30"/>
      <c r="O238" s="5" t="str">
        <f t="shared" si="26"/>
        <v/>
      </c>
      <c r="U238" s="79"/>
      <c r="W238" s="29"/>
      <c r="X238" s="29"/>
      <c r="Y238" s="5" t="str">
        <f t="shared" si="27"/>
        <v/>
      </c>
      <c r="Z238" s="5"/>
      <c r="AA238" s="5" t="str">
        <f t="shared" si="24"/>
        <v/>
      </c>
      <c r="AC238" s="27"/>
      <c r="AD238" s="5"/>
      <c r="AE238" s="30"/>
      <c r="AF238" s="30"/>
      <c r="AG238" s="5" t="str">
        <f t="shared" si="28"/>
        <v/>
      </c>
    </row>
    <row r="239" spans="3:33" x14ac:dyDescent="0.2">
      <c r="C239" s="77"/>
      <c r="E239" s="29"/>
      <c r="F239" s="29"/>
      <c r="G239" s="5" t="str">
        <f t="shared" si="25"/>
        <v/>
      </c>
      <c r="H239" s="5"/>
      <c r="I239" s="5" t="str">
        <f t="shared" si="23"/>
        <v/>
      </c>
      <c r="K239" s="77"/>
      <c r="L239" s="5"/>
      <c r="M239" s="30"/>
      <c r="N239" s="30"/>
      <c r="O239" s="5" t="str">
        <f t="shared" si="26"/>
        <v/>
      </c>
      <c r="U239" s="79"/>
      <c r="W239" s="29"/>
      <c r="X239" s="29"/>
      <c r="Y239" s="5" t="str">
        <f t="shared" si="27"/>
        <v/>
      </c>
      <c r="Z239" s="5"/>
      <c r="AA239" s="5" t="str">
        <f t="shared" si="24"/>
        <v/>
      </c>
      <c r="AC239" s="27"/>
      <c r="AD239" s="5"/>
      <c r="AE239" s="30"/>
      <c r="AF239" s="30"/>
      <c r="AG239" s="5" t="str">
        <f t="shared" si="28"/>
        <v/>
      </c>
    </row>
    <row r="240" spans="3:33" x14ac:dyDescent="0.2">
      <c r="C240" s="77"/>
      <c r="E240" s="29"/>
      <c r="F240" s="29"/>
      <c r="G240" s="5" t="str">
        <f t="shared" si="25"/>
        <v/>
      </c>
      <c r="H240" s="5"/>
      <c r="I240" s="5" t="str">
        <f t="shared" si="23"/>
        <v/>
      </c>
      <c r="K240" s="77"/>
      <c r="L240" s="5"/>
      <c r="M240" s="30"/>
      <c r="N240" s="30"/>
      <c r="O240" s="5" t="str">
        <f t="shared" si="26"/>
        <v/>
      </c>
      <c r="U240" s="79"/>
      <c r="W240" s="29"/>
      <c r="X240" s="29"/>
      <c r="Y240" s="5" t="str">
        <f t="shared" si="27"/>
        <v/>
      </c>
      <c r="Z240" s="5"/>
      <c r="AA240" s="5" t="str">
        <f t="shared" si="24"/>
        <v/>
      </c>
      <c r="AC240" s="27"/>
      <c r="AD240" s="5"/>
      <c r="AE240" s="30"/>
      <c r="AF240" s="30"/>
      <c r="AG240" s="5" t="str">
        <f t="shared" si="28"/>
        <v/>
      </c>
    </row>
    <row r="241" spans="3:33" x14ac:dyDescent="0.2">
      <c r="C241" s="77"/>
      <c r="E241" s="29"/>
      <c r="F241" s="29"/>
      <c r="G241" s="5" t="str">
        <f t="shared" si="25"/>
        <v/>
      </c>
      <c r="H241" s="5"/>
      <c r="I241" s="5" t="str">
        <f t="shared" si="23"/>
        <v/>
      </c>
      <c r="K241" s="77"/>
      <c r="L241" s="5"/>
      <c r="M241" s="30"/>
      <c r="N241" s="30"/>
      <c r="O241" s="5" t="str">
        <f t="shared" si="26"/>
        <v/>
      </c>
      <c r="U241" s="79"/>
      <c r="W241" s="29"/>
      <c r="X241" s="29"/>
      <c r="Y241" s="5" t="str">
        <f t="shared" si="27"/>
        <v/>
      </c>
      <c r="Z241" s="5"/>
      <c r="AA241" s="5" t="str">
        <f t="shared" si="24"/>
        <v/>
      </c>
      <c r="AC241" s="27"/>
      <c r="AD241" s="5"/>
      <c r="AE241" s="30"/>
      <c r="AF241" s="30"/>
      <c r="AG241" s="5" t="str">
        <f t="shared" si="28"/>
        <v/>
      </c>
    </row>
    <row r="242" spans="3:33" x14ac:dyDescent="0.2">
      <c r="C242" s="77"/>
      <c r="E242" s="29"/>
      <c r="F242" s="29"/>
      <c r="G242" s="5" t="str">
        <f t="shared" si="25"/>
        <v/>
      </c>
      <c r="H242" s="5"/>
      <c r="I242" s="5" t="str">
        <f t="shared" si="23"/>
        <v/>
      </c>
      <c r="K242" s="77"/>
      <c r="L242" s="5"/>
      <c r="M242" s="30"/>
      <c r="N242" s="30"/>
      <c r="O242" s="5" t="str">
        <f t="shared" si="26"/>
        <v/>
      </c>
      <c r="U242" s="79"/>
      <c r="W242" s="29"/>
      <c r="X242" s="29"/>
      <c r="Y242" s="5" t="str">
        <f t="shared" si="27"/>
        <v/>
      </c>
      <c r="Z242" s="5"/>
      <c r="AA242" s="5" t="str">
        <f t="shared" si="24"/>
        <v/>
      </c>
      <c r="AC242" s="27"/>
      <c r="AD242" s="5"/>
      <c r="AE242" s="30"/>
      <c r="AF242" s="30"/>
      <c r="AG242" s="5" t="str">
        <f t="shared" si="28"/>
        <v/>
      </c>
    </row>
    <row r="243" spans="3:33" x14ac:dyDescent="0.2">
      <c r="C243" s="77"/>
      <c r="E243" s="29"/>
      <c r="F243" s="29"/>
      <c r="G243" s="5" t="str">
        <f t="shared" si="25"/>
        <v/>
      </c>
      <c r="H243" s="5"/>
      <c r="I243" s="5" t="str">
        <f t="shared" si="23"/>
        <v/>
      </c>
      <c r="K243" s="77"/>
      <c r="L243" s="5"/>
      <c r="M243" s="30"/>
      <c r="N243" s="30"/>
      <c r="O243" s="5" t="str">
        <f t="shared" si="26"/>
        <v/>
      </c>
      <c r="U243" s="79"/>
      <c r="W243" s="29"/>
      <c r="X243" s="29"/>
      <c r="Y243" s="5" t="str">
        <f t="shared" si="27"/>
        <v/>
      </c>
      <c r="Z243" s="5"/>
      <c r="AA243" s="5" t="str">
        <f t="shared" si="24"/>
        <v/>
      </c>
      <c r="AC243" s="27"/>
      <c r="AD243" s="5"/>
      <c r="AE243" s="30"/>
      <c r="AF243" s="30"/>
      <c r="AG243" s="5" t="str">
        <f t="shared" si="28"/>
        <v/>
      </c>
    </row>
    <row r="244" spans="3:33" x14ac:dyDescent="0.2">
      <c r="C244" s="77"/>
      <c r="E244" s="29"/>
      <c r="F244" s="29"/>
      <c r="G244" s="5" t="str">
        <f t="shared" si="25"/>
        <v/>
      </c>
      <c r="H244" s="5"/>
      <c r="I244" s="5" t="str">
        <f t="shared" si="23"/>
        <v/>
      </c>
      <c r="K244" s="77"/>
      <c r="L244" s="5"/>
      <c r="M244" s="30"/>
      <c r="N244" s="30"/>
      <c r="O244" s="5" t="str">
        <f t="shared" si="26"/>
        <v/>
      </c>
      <c r="U244" s="79"/>
      <c r="W244" s="29"/>
      <c r="X244" s="29"/>
      <c r="Y244" s="5" t="str">
        <f t="shared" si="27"/>
        <v/>
      </c>
      <c r="Z244" s="5"/>
      <c r="AA244" s="5" t="str">
        <f t="shared" si="24"/>
        <v/>
      </c>
      <c r="AC244" s="27"/>
      <c r="AD244" s="5"/>
      <c r="AE244" s="30"/>
      <c r="AF244" s="30"/>
      <c r="AG244" s="5" t="str">
        <f t="shared" si="28"/>
        <v/>
      </c>
    </row>
    <row r="245" spans="3:33" x14ac:dyDescent="0.2">
      <c r="C245" s="77"/>
      <c r="E245" s="29"/>
      <c r="F245" s="29"/>
      <c r="G245" s="5" t="str">
        <f t="shared" si="25"/>
        <v/>
      </c>
      <c r="H245" s="5"/>
      <c r="I245" s="5" t="str">
        <f t="shared" si="23"/>
        <v/>
      </c>
      <c r="K245" s="77"/>
      <c r="L245" s="5"/>
      <c r="M245" s="30"/>
      <c r="N245" s="30"/>
      <c r="O245" s="5" t="str">
        <f t="shared" si="26"/>
        <v/>
      </c>
      <c r="U245" s="79"/>
      <c r="W245" s="29"/>
      <c r="X245" s="29"/>
      <c r="Y245" s="5" t="str">
        <f t="shared" si="27"/>
        <v/>
      </c>
      <c r="Z245" s="5"/>
      <c r="AA245" s="5" t="str">
        <f t="shared" si="24"/>
        <v/>
      </c>
      <c r="AC245" s="27"/>
      <c r="AD245" s="5"/>
      <c r="AE245" s="30"/>
      <c r="AF245" s="30"/>
      <c r="AG245" s="5" t="str">
        <f t="shared" si="28"/>
        <v/>
      </c>
    </row>
    <row r="246" spans="3:33" x14ac:dyDescent="0.2">
      <c r="C246" s="77"/>
      <c r="E246" s="29"/>
      <c r="F246" s="29"/>
      <c r="G246" s="5" t="str">
        <f t="shared" si="25"/>
        <v/>
      </c>
      <c r="H246" s="5"/>
      <c r="I246" s="5" t="str">
        <f t="shared" si="23"/>
        <v/>
      </c>
      <c r="K246" s="77"/>
      <c r="L246" s="5"/>
      <c r="M246" s="30"/>
      <c r="N246" s="30"/>
      <c r="O246" s="5" t="str">
        <f t="shared" si="26"/>
        <v/>
      </c>
      <c r="U246" s="79"/>
      <c r="W246" s="29"/>
      <c r="X246" s="29"/>
      <c r="Y246" s="5" t="str">
        <f t="shared" si="27"/>
        <v/>
      </c>
      <c r="Z246" s="5"/>
      <c r="AA246" s="5" t="str">
        <f t="shared" si="24"/>
        <v/>
      </c>
      <c r="AC246" s="27"/>
      <c r="AD246" s="5"/>
      <c r="AE246" s="30"/>
      <c r="AF246" s="30"/>
      <c r="AG246" s="5" t="str">
        <f t="shared" si="28"/>
        <v/>
      </c>
    </row>
    <row r="247" spans="3:33" x14ac:dyDescent="0.2">
      <c r="C247" s="77"/>
      <c r="E247" s="29"/>
      <c r="F247" s="29"/>
      <c r="G247" s="5" t="str">
        <f t="shared" si="25"/>
        <v/>
      </c>
      <c r="H247" s="5"/>
      <c r="I247" s="5" t="str">
        <f t="shared" si="23"/>
        <v/>
      </c>
      <c r="K247" s="77"/>
      <c r="L247" s="5"/>
      <c r="M247" s="30"/>
      <c r="N247" s="30"/>
      <c r="O247" s="5" t="str">
        <f t="shared" si="26"/>
        <v/>
      </c>
      <c r="U247" s="79"/>
      <c r="W247" s="29"/>
      <c r="X247" s="29"/>
      <c r="Y247" s="5" t="str">
        <f t="shared" si="27"/>
        <v/>
      </c>
      <c r="Z247" s="5"/>
      <c r="AA247" s="5" t="str">
        <f t="shared" si="24"/>
        <v/>
      </c>
      <c r="AC247" s="27"/>
      <c r="AD247" s="5"/>
      <c r="AE247" s="30"/>
      <c r="AF247" s="30"/>
      <c r="AG247" s="5" t="str">
        <f t="shared" si="28"/>
        <v/>
      </c>
    </row>
    <row r="248" spans="3:33" x14ac:dyDescent="0.2">
      <c r="C248" s="77"/>
      <c r="E248" s="29"/>
      <c r="F248" s="29"/>
      <c r="G248" s="5" t="str">
        <f t="shared" si="25"/>
        <v/>
      </c>
      <c r="H248" s="5"/>
      <c r="I248" s="5" t="str">
        <f t="shared" si="23"/>
        <v/>
      </c>
      <c r="K248" s="77"/>
      <c r="L248" s="5"/>
      <c r="M248" s="30"/>
      <c r="N248" s="30"/>
      <c r="O248" s="5" t="str">
        <f t="shared" si="26"/>
        <v/>
      </c>
      <c r="U248" s="79"/>
      <c r="W248" s="29"/>
      <c r="X248" s="29"/>
      <c r="Y248" s="5" t="str">
        <f t="shared" si="27"/>
        <v/>
      </c>
      <c r="Z248" s="5"/>
      <c r="AA248" s="5" t="str">
        <f t="shared" si="24"/>
        <v/>
      </c>
      <c r="AC248" s="27"/>
      <c r="AD248" s="5"/>
      <c r="AE248" s="30"/>
      <c r="AF248" s="30"/>
      <c r="AG248" s="5" t="str">
        <f t="shared" si="28"/>
        <v/>
      </c>
    </row>
    <row r="249" spans="3:33" x14ac:dyDescent="0.2">
      <c r="C249" s="77"/>
      <c r="E249" s="29"/>
      <c r="F249" s="29"/>
      <c r="G249" s="5" t="str">
        <f t="shared" si="25"/>
        <v/>
      </c>
      <c r="H249" s="5"/>
      <c r="I249" s="5" t="str">
        <f t="shared" si="23"/>
        <v/>
      </c>
      <c r="K249" s="77"/>
      <c r="L249" s="5"/>
      <c r="M249" s="30"/>
      <c r="N249" s="30"/>
      <c r="O249" s="5" t="str">
        <f t="shared" si="26"/>
        <v/>
      </c>
      <c r="U249" s="79"/>
      <c r="W249" s="29"/>
      <c r="X249" s="29"/>
      <c r="Y249" s="5" t="str">
        <f t="shared" si="27"/>
        <v/>
      </c>
      <c r="Z249" s="5"/>
      <c r="AA249" s="5" t="str">
        <f t="shared" si="24"/>
        <v/>
      </c>
      <c r="AC249" s="27"/>
      <c r="AD249" s="5"/>
      <c r="AE249" s="30"/>
      <c r="AF249" s="30"/>
      <c r="AG249" s="5" t="str">
        <f t="shared" si="28"/>
        <v/>
      </c>
    </row>
    <row r="250" spans="3:33" x14ac:dyDescent="0.2">
      <c r="C250" s="77"/>
      <c r="E250" s="29"/>
      <c r="F250" s="29"/>
      <c r="G250" s="5" t="str">
        <f t="shared" si="25"/>
        <v/>
      </c>
      <c r="H250" s="5"/>
      <c r="I250" s="5" t="str">
        <f t="shared" si="23"/>
        <v/>
      </c>
      <c r="K250" s="77"/>
      <c r="L250" s="5"/>
      <c r="M250" s="30"/>
      <c r="N250" s="30"/>
      <c r="O250" s="5" t="str">
        <f t="shared" si="26"/>
        <v/>
      </c>
      <c r="U250" s="79"/>
      <c r="W250" s="29"/>
      <c r="X250" s="29"/>
      <c r="Y250" s="5" t="str">
        <f t="shared" si="27"/>
        <v/>
      </c>
      <c r="Z250" s="5"/>
      <c r="AA250" s="5" t="str">
        <f t="shared" si="24"/>
        <v/>
      </c>
      <c r="AC250" s="27"/>
      <c r="AD250" s="5"/>
      <c r="AE250" s="30"/>
      <c r="AF250" s="30"/>
      <c r="AG250" s="5" t="str">
        <f t="shared" si="28"/>
        <v/>
      </c>
    </row>
    <row r="251" spans="3:33" x14ac:dyDescent="0.2">
      <c r="C251" s="77"/>
      <c r="E251" s="29"/>
      <c r="F251" s="29"/>
      <c r="G251" s="5" t="str">
        <f t="shared" si="25"/>
        <v/>
      </c>
      <c r="H251" s="5"/>
      <c r="I251" s="5" t="str">
        <f t="shared" si="23"/>
        <v/>
      </c>
      <c r="K251" s="77"/>
      <c r="L251" s="5"/>
      <c r="M251" s="30"/>
      <c r="N251" s="30"/>
      <c r="O251" s="5" t="str">
        <f t="shared" si="26"/>
        <v/>
      </c>
      <c r="U251" s="79"/>
      <c r="W251" s="29"/>
      <c r="X251" s="29"/>
      <c r="Y251" s="5" t="str">
        <f t="shared" si="27"/>
        <v/>
      </c>
      <c r="Z251" s="5"/>
      <c r="AA251" s="5" t="str">
        <f t="shared" si="24"/>
        <v/>
      </c>
      <c r="AC251" s="27"/>
      <c r="AD251" s="5"/>
      <c r="AE251" s="30"/>
      <c r="AF251" s="30"/>
      <c r="AG251" s="5" t="str">
        <f t="shared" si="28"/>
        <v/>
      </c>
    </row>
    <row r="252" spans="3:33" x14ac:dyDescent="0.2">
      <c r="C252" s="77"/>
      <c r="E252" s="29"/>
      <c r="F252" s="29"/>
      <c r="G252" s="5" t="str">
        <f t="shared" si="25"/>
        <v/>
      </c>
      <c r="H252" s="5"/>
      <c r="I252" s="5" t="str">
        <f t="shared" si="23"/>
        <v/>
      </c>
      <c r="K252" s="77"/>
      <c r="L252" s="5"/>
      <c r="M252" s="30"/>
      <c r="N252" s="30"/>
      <c r="O252" s="5" t="str">
        <f t="shared" si="26"/>
        <v/>
      </c>
      <c r="U252" s="79"/>
      <c r="W252" s="29"/>
      <c r="X252" s="29"/>
      <c r="Y252" s="5" t="str">
        <f t="shared" si="27"/>
        <v/>
      </c>
      <c r="Z252" s="5"/>
      <c r="AA252" s="5" t="str">
        <f t="shared" si="24"/>
        <v/>
      </c>
      <c r="AC252" s="27"/>
      <c r="AD252" s="5"/>
      <c r="AE252" s="30"/>
      <c r="AF252" s="30"/>
      <c r="AG252" s="5" t="str">
        <f t="shared" si="28"/>
        <v/>
      </c>
    </row>
    <row r="253" spans="3:33" x14ac:dyDescent="0.2">
      <c r="C253" s="77"/>
      <c r="E253" s="29"/>
      <c r="F253" s="29"/>
      <c r="G253" s="5" t="str">
        <f t="shared" si="25"/>
        <v/>
      </c>
      <c r="H253" s="5"/>
      <c r="I253" s="5" t="str">
        <f t="shared" si="23"/>
        <v/>
      </c>
      <c r="K253" s="77"/>
      <c r="L253" s="5"/>
      <c r="M253" s="30"/>
      <c r="N253" s="30"/>
      <c r="O253" s="5" t="str">
        <f t="shared" si="26"/>
        <v/>
      </c>
      <c r="U253" s="79"/>
      <c r="W253" s="29"/>
      <c r="X253" s="29"/>
      <c r="Y253" s="5" t="str">
        <f t="shared" si="27"/>
        <v/>
      </c>
      <c r="Z253" s="5"/>
      <c r="AA253" s="5" t="str">
        <f t="shared" si="24"/>
        <v/>
      </c>
      <c r="AC253" s="27"/>
      <c r="AD253" s="5"/>
      <c r="AE253" s="30"/>
      <c r="AF253" s="30"/>
      <c r="AG253" s="5" t="str">
        <f t="shared" si="28"/>
        <v/>
      </c>
    </row>
    <row r="254" spans="3:33" x14ac:dyDescent="0.2">
      <c r="C254" s="77"/>
      <c r="E254" s="29"/>
      <c r="F254" s="29"/>
      <c r="G254" s="5" t="str">
        <f t="shared" si="25"/>
        <v/>
      </c>
      <c r="H254" s="5"/>
      <c r="I254" s="5" t="str">
        <f t="shared" si="23"/>
        <v/>
      </c>
      <c r="K254" s="77"/>
      <c r="L254" s="5"/>
      <c r="M254" s="30"/>
      <c r="N254" s="30"/>
      <c r="O254" s="5" t="str">
        <f t="shared" si="26"/>
        <v/>
      </c>
      <c r="U254" s="79"/>
      <c r="W254" s="29"/>
      <c r="X254" s="29"/>
      <c r="Y254" s="5" t="str">
        <f t="shared" si="27"/>
        <v/>
      </c>
      <c r="Z254" s="5"/>
      <c r="AA254" s="5" t="str">
        <f t="shared" si="24"/>
        <v/>
      </c>
      <c r="AC254" s="27"/>
      <c r="AD254" s="5"/>
      <c r="AE254" s="30"/>
      <c r="AF254" s="30"/>
      <c r="AG254" s="5" t="str">
        <f t="shared" si="28"/>
        <v/>
      </c>
    </row>
    <row r="255" spans="3:33" x14ac:dyDescent="0.2">
      <c r="C255" s="77"/>
      <c r="E255" s="29"/>
      <c r="F255" s="29"/>
      <c r="G255" s="5" t="str">
        <f t="shared" si="25"/>
        <v/>
      </c>
      <c r="H255" s="5"/>
      <c r="I255" s="5" t="str">
        <f t="shared" si="23"/>
        <v/>
      </c>
      <c r="K255" s="77"/>
      <c r="L255" s="5"/>
      <c r="M255" s="30"/>
      <c r="N255" s="30"/>
      <c r="O255" s="5" t="str">
        <f t="shared" si="26"/>
        <v/>
      </c>
      <c r="U255" s="79"/>
      <c r="W255" s="29"/>
      <c r="X255" s="29"/>
      <c r="Y255" s="5" t="str">
        <f t="shared" si="27"/>
        <v/>
      </c>
      <c r="Z255" s="5"/>
      <c r="AA255" s="5" t="str">
        <f t="shared" si="24"/>
        <v/>
      </c>
      <c r="AC255" s="27"/>
      <c r="AD255" s="5"/>
      <c r="AE255" s="30"/>
      <c r="AF255" s="30"/>
      <c r="AG255" s="5" t="str">
        <f t="shared" si="28"/>
        <v/>
      </c>
    </row>
    <row r="256" spans="3:33" x14ac:dyDescent="0.2">
      <c r="C256" s="77"/>
      <c r="E256" s="29"/>
      <c r="F256" s="29"/>
      <c r="G256" s="5" t="str">
        <f t="shared" si="25"/>
        <v/>
      </c>
      <c r="H256" s="5"/>
      <c r="I256" s="5" t="str">
        <f t="shared" si="23"/>
        <v/>
      </c>
      <c r="K256" s="77"/>
      <c r="L256" s="5"/>
      <c r="M256" s="30"/>
      <c r="N256" s="30"/>
      <c r="O256" s="5" t="str">
        <f t="shared" si="26"/>
        <v/>
      </c>
      <c r="U256" s="79"/>
      <c r="W256" s="29"/>
      <c r="X256" s="29"/>
      <c r="Y256" s="5" t="str">
        <f t="shared" si="27"/>
        <v/>
      </c>
      <c r="Z256" s="5"/>
      <c r="AA256" s="5" t="str">
        <f t="shared" si="24"/>
        <v/>
      </c>
      <c r="AC256" s="27"/>
      <c r="AD256" s="5"/>
      <c r="AE256" s="30"/>
      <c r="AF256" s="30"/>
      <c r="AG256" s="5" t="str">
        <f t="shared" si="28"/>
        <v/>
      </c>
    </row>
    <row r="257" spans="3:33" x14ac:dyDescent="0.2">
      <c r="C257" s="77"/>
      <c r="E257" s="29"/>
      <c r="F257" s="29"/>
      <c r="G257" s="5" t="str">
        <f t="shared" si="25"/>
        <v/>
      </c>
      <c r="H257" s="5"/>
      <c r="I257" s="5" t="str">
        <f t="shared" si="23"/>
        <v/>
      </c>
      <c r="K257" s="77"/>
      <c r="L257" s="5"/>
      <c r="M257" s="30"/>
      <c r="N257" s="30"/>
      <c r="O257" s="5" t="str">
        <f t="shared" si="26"/>
        <v/>
      </c>
      <c r="U257" s="79"/>
      <c r="W257" s="29"/>
      <c r="X257" s="29"/>
      <c r="Y257" s="5" t="str">
        <f t="shared" si="27"/>
        <v/>
      </c>
      <c r="Z257" s="5"/>
      <c r="AA257" s="5" t="str">
        <f t="shared" si="24"/>
        <v/>
      </c>
      <c r="AC257" s="27"/>
      <c r="AD257" s="5"/>
      <c r="AE257" s="30"/>
      <c r="AF257" s="30"/>
      <c r="AG257" s="5" t="str">
        <f t="shared" si="28"/>
        <v/>
      </c>
    </row>
    <row r="258" spans="3:33" x14ac:dyDescent="0.2">
      <c r="C258" s="28"/>
      <c r="E258" s="29"/>
      <c r="F258" s="29"/>
      <c r="G258" s="5" t="str">
        <f t="shared" si="25"/>
        <v/>
      </c>
      <c r="H258" s="5"/>
      <c r="I258" s="5" t="str">
        <f t="shared" si="23"/>
        <v/>
      </c>
      <c r="K258" s="77"/>
      <c r="L258" s="5"/>
      <c r="M258" s="30"/>
      <c r="N258" s="30"/>
      <c r="O258" s="5" t="str">
        <f t="shared" si="26"/>
        <v/>
      </c>
      <c r="U258" s="79"/>
      <c r="W258" s="29"/>
      <c r="X258" s="29"/>
      <c r="Y258" s="5" t="str">
        <f t="shared" si="27"/>
        <v/>
      </c>
      <c r="Z258" s="5"/>
      <c r="AA258" s="5" t="str">
        <f t="shared" si="24"/>
        <v/>
      </c>
      <c r="AC258" s="27"/>
      <c r="AD258" s="5"/>
      <c r="AE258" s="30"/>
      <c r="AF258" s="30"/>
      <c r="AG258" s="5" t="str">
        <f t="shared" si="28"/>
        <v/>
      </c>
    </row>
    <row r="259" spans="3:33" x14ac:dyDescent="0.2">
      <c r="C259" s="28"/>
      <c r="E259" s="29"/>
      <c r="F259" s="29"/>
      <c r="G259" s="5" t="str">
        <f t="shared" si="25"/>
        <v/>
      </c>
      <c r="H259" s="5"/>
      <c r="I259" s="5" t="str">
        <f t="shared" si="23"/>
        <v/>
      </c>
      <c r="K259" s="77"/>
      <c r="L259" s="5"/>
      <c r="M259" s="30"/>
      <c r="N259" s="30"/>
      <c r="O259" s="5" t="str">
        <f t="shared" si="26"/>
        <v/>
      </c>
      <c r="U259" s="79"/>
      <c r="W259" s="29"/>
      <c r="X259" s="29"/>
      <c r="Y259" s="5" t="str">
        <f t="shared" si="27"/>
        <v/>
      </c>
      <c r="Z259" s="5"/>
      <c r="AA259" s="5" t="str">
        <f t="shared" si="24"/>
        <v/>
      </c>
      <c r="AD259" s="5"/>
      <c r="AE259" s="30"/>
      <c r="AF259" s="30"/>
      <c r="AG259" s="5" t="str">
        <f t="shared" si="28"/>
        <v/>
      </c>
    </row>
    <row r="260" spans="3:33" x14ac:dyDescent="0.2">
      <c r="C260" s="28"/>
      <c r="E260" s="29"/>
      <c r="F260" s="29"/>
      <c r="G260" s="5" t="str">
        <f t="shared" si="25"/>
        <v/>
      </c>
      <c r="H260" s="5"/>
      <c r="I260" s="5" t="str">
        <f t="shared" si="23"/>
        <v/>
      </c>
      <c r="K260" s="77"/>
      <c r="L260" s="5"/>
      <c r="M260" s="30"/>
      <c r="N260" s="30"/>
      <c r="O260" s="5" t="str">
        <f t="shared" si="26"/>
        <v/>
      </c>
      <c r="U260" s="79"/>
      <c r="W260" s="29"/>
      <c r="X260" s="29"/>
      <c r="Y260" s="5" t="str">
        <f t="shared" si="27"/>
        <v/>
      </c>
      <c r="Z260" s="5"/>
      <c r="AA260" s="5" t="str">
        <f t="shared" si="24"/>
        <v/>
      </c>
      <c r="AD260" s="5"/>
      <c r="AE260" s="30"/>
      <c r="AF260" s="30"/>
      <c r="AG260" s="5" t="str">
        <f t="shared" si="28"/>
        <v/>
      </c>
    </row>
    <row r="261" spans="3:33" x14ac:dyDescent="0.2">
      <c r="C261" s="28"/>
      <c r="E261" s="29"/>
      <c r="F261" s="29"/>
      <c r="G261" s="5" t="str">
        <f t="shared" si="25"/>
        <v/>
      </c>
      <c r="H261" s="5"/>
      <c r="I261" s="5" t="str">
        <f t="shared" si="23"/>
        <v/>
      </c>
      <c r="K261" s="77"/>
      <c r="L261" s="5"/>
      <c r="M261" s="30"/>
      <c r="N261" s="30"/>
      <c r="O261" s="5" t="str">
        <f t="shared" si="26"/>
        <v/>
      </c>
      <c r="U261" s="79"/>
      <c r="W261" s="29"/>
      <c r="X261" s="29"/>
      <c r="Y261" s="5" t="str">
        <f t="shared" si="27"/>
        <v/>
      </c>
      <c r="Z261" s="5"/>
      <c r="AA261" s="5" t="str">
        <f t="shared" si="24"/>
        <v/>
      </c>
      <c r="AD261" s="5"/>
      <c r="AE261" s="30"/>
      <c r="AF261" s="30"/>
      <c r="AG261" s="5" t="str">
        <f t="shared" si="28"/>
        <v/>
      </c>
    </row>
    <row r="262" spans="3:33" x14ac:dyDescent="0.2">
      <c r="C262" s="28"/>
      <c r="E262" s="29"/>
      <c r="F262" s="29"/>
      <c r="G262" s="5" t="str">
        <f t="shared" si="25"/>
        <v/>
      </c>
      <c r="H262" s="5"/>
      <c r="I262" s="5" t="str">
        <f t="shared" si="23"/>
        <v/>
      </c>
      <c r="K262" s="77"/>
      <c r="L262" s="5"/>
      <c r="M262" s="30"/>
      <c r="N262" s="30"/>
      <c r="O262" s="5" t="str">
        <f t="shared" si="26"/>
        <v/>
      </c>
      <c r="U262" s="79"/>
      <c r="W262" s="29"/>
      <c r="X262" s="29"/>
      <c r="Y262" s="5" t="str">
        <f t="shared" si="27"/>
        <v/>
      </c>
      <c r="Z262" s="5"/>
      <c r="AA262" s="5" t="str">
        <f t="shared" si="24"/>
        <v/>
      </c>
      <c r="AD262" s="5"/>
      <c r="AE262" s="30"/>
      <c r="AF262" s="30"/>
      <c r="AG262" s="5" t="str">
        <f t="shared" si="28"/>
        <v/>
      </c>
    </row>
    <row r="263" spans="3:33" x14ac:dyDescent="0.2">
      <c r="C263" s="28"/>
      <c r="E263" s="29"/>
      <c r="F263" s="29"/>
      <c r="G263" s="5" t="str">
        <f t="shared" si="25"/>
        <v/>
      </c>
      <c r="H263" s="5"/>
      <c r="I263" s="5" t="str">
        <f t="shared" si="23"/>
        <v/>
      </c>
      <c r="K263" s="77"/>
      <c r="L263" s="5"/>
      <c r="M263" s="30"/>
      <c r="N263" s="30"/>
      <c r="O263" s="5" t="str">
        <f t="shared" si="26"/>
        <v/>
      </c>
      <c r="U263" s="79"/>
      <c r="W263" s="29"/>
      <c r="X263" s="29"/>
      <c r="Y263" s="5" t="str">
        <f t="shared" si="27"/>
        <v/>
      </c>
      <c r="Z263" s="5"/>
      <c r="AA263" s="5" t="str">
        <f t="shared" si="24"/>
        <v/>
      </c>
      <c r="AD263" s="5"/>
      <c r="AE263" s="30"/>
      <c r="AF263" s="30"/>
      <c r="AG263" s="5" t="str">
        <f t="shared" si="28"/>
        <v/>
      </c>
    </row>
    <row r="264" spans="3:33" x14ac:dyDescent="0.2">
      <c r="C264" s="28"/>
      <c r="E264" s="29"/>
      <c r="F264" s="29"/>
      <c r="G264" s="5" t="str">
        <f t="shared" si="25"/>
        <v/>
      </c>
      <c r="H264" s="5"/>
      <c r="I264" s="5" t="str">
        <f t="shared" si="23"/>
        <v/>
      </c>
      <c r="K264" s="77"/>
      <c r="L264" s="5"/>
      <c r="M264" s="30"/>
      <c r="N264" s="30"/>
      <c r="O264" s="5" t="str">
        <f t="shared" si="26"/>
        <v/>
      </c>
      <c r="U264" s="79"/>
      <c r="W264" s="29"/>
      <c r="X264" s="29"/>
      <c r="Y264" s="5" t="str">
        <f t="shared" si="27"/>
        <v/>
      </c>
      <c r="Z264" s="5"/>
      <c r="AA264" s="5" t="str">
        <f t="shared" si="24"/>
        <v/>
      </c>
      <c r="AD264" s="5"/>
      <c r="AE264" s="30"/>
      <c r="AF264" s="30"/>
      <c r="AG264" s="5" t="str">
        <f t="shared" si="28"/>
        <v/>
      </c>
    </row>
    <row r="265" spans="3:33" x14ac:dyDescent="0.2">
      <c r="C265" s="28"/>
      <c r="E265" s="29"/>
      <c r="F265" s="29"/>
      <c r="G265" s="5" t="str">
        <f t="shared" si="25"/>
        <v/>
      </c>
      <c r="H265" s="5"/>
      <c r="I265" s="5" t="str">
        <f t="shared" si="23"/>
        <v/>
      </c>
      <c r="K265" s="77"/>
      <c r="L265" s="5"/>
      <c r="M265" s="30"/>
      <c r="N265" s="30"/>
      <c r="O265" s="5" t="str">
        <f t="shared" si="26"/>
        <v/>
      </c>
      <c r="U265" s="79"/>
      <c r="W265" s="29"/>
      <c r="X265" s="29"/>
      <c r="Y265" s="5" t="str">
        <f t="shared" si="27"/>
        <v/>
      </c>
      <c r="Z265" s="5"/>
      <c r="AA265" s="5" t="str">
        <f t="shared" si="24"/>
        <v/>
      </c>
      <c r="AD265" s="5"/>
      <c r="AE265" s="30"/>
      <c r="AF265" s="30"/>
      <c r="AG265" s="5" t="str">
        <f t="shared" si="28"/>
        <v/>
      </c>
    </row>
    <row r="266" spans="3:33" x14ac:dyDescent="0.2">
      <c r="C266" s="28"/>
      <c r="E266" s="29"/>
      <c r="F266" s="29"/>
      <c r="G266" s="5" t="str">
        <f t="shared" si="25"/>
        <v/>
      </c>
      <c r="H266" s="5"/>
      <c r="I266" s="5" t="str">
        <f t="shared" si="23"/>
        <v/>
      </c>
      <c r="K266" s="77"/>
      <c r="L266" s="5"/>
      <c r="M266" s="30"/>
      <c r="N266" s="30"/>
      <c r="O266" s="5" t="str">
        <f t="shared" si="26"/>
        <v/>
      </c>
      <c r="U266" s="79"/>
      <c r="W266" s="29"/>
      <c r="X266" s="29"/>
      <c r="Y266" s="5" t="str">
        <f t="shared" si="27"/>
        <v/>
      </c>
      <c r="Z266" s="5"/>
      <c r="AA266" s="5" t="str">
        <f t="shared" si="24"/>
        <v/>
      </c>
      <c r="AD266" s="5"/>
      <c r="AE266" s="30"/>
      <c r="AF266" s="30"/>
      <c r="AG266" s="5" t="str">
        <f t="shared" si="28"/>
        <v/>
      </c>
    </row>
    <row r="267" spans="3:33" x14ac:dyDescent="0.2">
      <c r="C267" s="28"/>
      <c r="E267" s="29"/>
      <c r="F267" s="29"/>
      <c r="G267" s="5" t="str">
        <f t="shared" si="25"/>
        <v/>
      </c>
      <c r="H267" s="5"/>
      <c r="I267" s="5" t="str">
        <f t="shared" si="23"/>
        <v/>
      </c>
      <c r="K267" s="77"/>
      <c r="L267" s="5"/>
      <c r="M267" s="30"/>
      <c r="N267" s="30"/>
      <c r="O267" s="5" t="str">
        <f t="shared" si="26"/>
        <v/>
      </c>
      <c r="U267" s="79"/>
      <c r="W267" s="29"/>
      <c r="X267" s="29"/>
      <c r="Y267" s="5" t="str">
        <f t="shared" si="27"/>
        <v/>
      </c>
      <c r="Z267" s="5"/>
      <c r="AA267" s="5" t="str">
        <f t="shared" si="24"/>
        <v/>
      </c>
      <c r="AD267" s="5"/>
      <c r="AE267" s="30"/>
      <c r="AF267" s="30"/>
      <c r="AG267" s="5" t="str">
        <f t="shared" si="28"/>
        <v/>
      </c>
    </row>
    <row r="268" spans="3:33" x14ac:dyDescent="0.2">
      <c r="C268" s="28"/>
      <c r="E268" s="29"/>
      <c r="F268" s="29"/>
      <c r="G268" s="5" t="str">
        <f t="shared" si="25"/>
        <v/>
      </c>
      <c r="H268" s="5"/>
      <c r="I268" s="5" t="str">
        <f t="shared" si="23"/>
        <v/>
      </c>
      <c r="K268" s="77"/>
      <c r="L268" s="5"/>
      <c r="M268" s="30"/>
      <c r="N268" s="30"/>
      <c r="O268" s="5" t="str">
        <f t="shared" si="26"/>
        <v/>
      </c>
      <c r="U268" s="79"/>
      <c r="W268" s="29"/>
      <c r="X268" s="29"/>
      <c r="Y268" s="5" t="str">
        <f t="shared" si="27"/>
        <v/>
      </c>
      <c r="Z268" s="5"/>
      <c r="AA268" s="5" t="str">
        <f t="shared" si="24"/>
        <v/>
      </c>
      <c r="AD268" s="5"/>
      <c r="AE268" s="30"/>
      <c r="AF268" s="30"/>
      <c r="AG268" s="5" t="str">
        <f t="shared" si="28"/>
        <v/>
      </c>
    </row>
    <row r="269" spans="3:33" x14ac:dyDescent="0.2">
      <c r="C269" s="28"/>
      <c r="E269" s="29"/>
      <c r="F269" s="29"/>
      <c r="G269" s="5" t="str">
        <f t="shared" si="25"/>
        <v/>
      </c>
      <c r="H269" s="5"/>
      <c r="I269" s="5" t="str">
        <f t="shared" si="23"/>
        <v/>
      </c>
      <c r="K269" s="77"/>
      <c r="L269" s="5"/>
      <c r="M269" s="30"/>
      <c r="N269" s="30"/>
      <c r="O269" s="5" t="str">
        <f t="shared" si="26"/>
        <v/>
      </c>
      <c r="U269" s="79"/>
      <c r="W269" s="29"/>
      <c r="X269" s="29"/>
      <c r="Y269" s="5" t="str">
        <f t="shared" si="27"/>
        <v/>
      </c>
      <c r="Z269" s="5"/>
      <c r="AA269" s="5" t="str">
        <f t="shared" si="24"/>
        <v/>
      </c>
      <c r="AD269" s="5"/>
      <c r="AE269" s="30"/>
      <c r="AF269" s="30"/>
      <c r="AG269" s="5" t="str">
        <f t="shared" si="28"/>
        <v/>
      </c>
    </row>
    <row r="270" spans="3:33" x14ac:dyDescent="0.2">
      <c r="C270" s="28"/>
      <c r="E270" s="29"/>
      <c r="F270" s="29"/>
      <c r="G270" s="5" t="str">
        <f t="shared" si="25"/>
        <v/>
      </c>
      <c r="H270" s="5"/>
      <c r="I270" s="5" t="str">
        <f t="shared" si="23"/>
        <v/>
      </c>
      <c r="K270" s="77"/>
      <c r="L270" s="5"/>
      <c r="M270" s="30"/>
      <c r="N270" s="30"/>
      <c r="O270" s="5" t="str">
        <f t="shared" si="26"/>
        <v/>
      </c>
      <c r="U270" s="79"/>
      <c r="W270" s="29"/>
      <c r="X270" s="29"/>
      <c r="Y270" s="5" t="str">
        <f t="shared" si="27"/>
        <v/>
      </c>
      <c r="Z270" s="5"/>
      <c r="AA270" s="5" t="str">
        <f t="shared" si="24"/>
        <v/>
      </c>
      <c r="AD270" s="5"/>
      <c r="AE270" s="30"/>
      <c r="AF270" s="30"/>
      <c r="AG270" s="5" t="str">
        <f t="shared" si="28"/>
        <v/>
      </c>
    </row>
    <row r="271" spans="3:33" x14ac:dyDescent="0.2">
      <c r="C271" s="28"/>
      <c r="E271" s="29"/>
      <c r="F271" s="29"/>
      <c r="G271" s="5" t="str">
        <f t="shared" si="25"/>
        <v/>
      </c>
      <c r="H271" s="5"/>
      <c r="I271" s="5" t="str">
        <f t="shared" si="23"/>
        <v/>
      </c>
      <c r="K271" s="77"/>
      <c r="L271" s="5"/>
      <c r="M271" s="30"/>
      <c r="N271" s="30"/>
      <c r="O271" s="5" t="str">
        <f t="shared" si="26"/>
        <v/>
      </c>
      <c r="U271" s="79"/>
      <c r="W271" s="29"/>
      <c r="X271" s="29"/>
      <c r="Y271" s="5" t="str">
        <f t="shared" si="27"/>
        <v/>
      </c>
      <c r="Z271" s="5"/>
      <c r="AA271" s="5" t="str">
        <f t="shared" si="24"/>
        <v/>
      </c>
      <c r="AD271" s="5"/>
      <c r="AE271" s="30"/>
      <c r="AF271" s="30"/>
      <c r="AG271" s="5" t="str">
        <f t="shared" si="28"/>
        <v/>
      </c>
    </row>
    <row r="272" spans="3:33" x14ac:dyDescent="0.2">
      <c r="C272" s="28"/>
      <c r="G272" s="5" t="str">
        <f t="shared" si="25"/>
        <v/>
      </c>
      <c r="I272" s="5" t="str">
        <f t="shared" si="23"/>
        <v/>
      </c>
      <c r="K272" s="77"/>
      <c r="O272" s="5" t="str">
        <f t="shared" si="26"/>
        <v/>
      </c>
      <c r="Y272" s="5" t="str">
        <f t="shared" si="27"/>
        <v/>
      </c>
      <c r="AA272" s="5" t="str">
        <f t="shared" si="24"/>
        <v/>
      </c>
      <c r="AG272" s="5" t="str">
        <f t="shared" si="28"/>
        <v/>
      </c>
    </row>
    <row r="273" spans="3:33" x14ac:dyDescent="0.2">
      <c r="C273" s="28"/>
      <c r="G273" s="5" t="str">
        <f t="shared" si="25"/>
        <v/>
      </c>
      <c r="I273" s="5" t="str">
        <f t="shared" si="23"/>
        <v/>
      </c>
      <c r="K273" s="77"/>
      <c r="O273" s="5" t="str">
        <f t="shared" si="26"/>
        <v/>
      </c>
      <c r="Y273" s="5" t="str">
        <f t="shared" si="27"/>
        <v/>
      </c>
      <c r="AA273" s="5" t="str">
        <f t="shared" si="24"/>
        <v/>
      </c>
      <c r="AG273" s="5" t="str">
        <f t="shared" si="28"/>
        <v/>
      </c>
    </row>
    <row r="274" spans="3:33" x14ac:dyDescent="0.2">
      <c r="C274" s="28"/>
      <c r="G274" s="5" t="str">
        <f t="shared" si="25"/>
        <v/>
      </c>
      <c r="I274" s="5" t="str">
        <f t="shared" ref="I274:I337" si="29">IF(L274="","",IFERROR(ABS(VLOOKUP(L274,$L$17:$O$271,4,FALSE)-VLOOKUP(L274,$D$17:$G$271,4,FALSE)),""))</f>
        <v/>
      </c>
      <c r="K274" s="77"/>
      <c r="O274" s="5" t="str">
        <f t="shared" si="26"/>
        <v/>
      </c>
      <c r="Y274" s="5" t="str">
        <f t="shared" si="27"/>
        <v/>
      </c>
      <c r="AA274" s="5" t="str">
        <f t="shared" ref="AA274:AA337" si="30">IF(AD274="","",IFERROR(ABS(VLOOKUP(AD274,$L$17:$O$271,4,FALSE)-VLOOKUP(AD274,$D$17:$G$271,4,FALSE)),""))</f>
        <v/>
      </c>
      <c r="AG274" s="5" t="str">
        <f t="shared" si="28"/>
        <v/>
      </c>
    </row>
    <row r="275" spans="3:33" x14ac:dyDescent="0.2">
      <c r="C275" s="28"/>
      <c r="G275" s="5" t="str">
        <f t="shared" si="25"/>
        <v/>
      </c>
      <c r="I275" s="5" t="str">
        <f t="shared" si="29"/>
        <v/>
      </c>
      <c r="K275" s="77"/>
      <c r="O275" s="5" t="str">
        <f t="shared" si="26"/>
        <v/>
      </c>
      <c r="Y275" s="5" t="str">
        <f t="shared" si="27"/>
        <v/>
      </c>
      <c r="AA275" s="5" t="str">
        <f t="shared" si="30"/>
        <v/>
      </c>
      <c r="AG275" s="5" t="str">
        <f t="shared" si="28"/>
        <v/>
      </c>
    </row>
    <row r="276" spans="3:33" x14ac:dyDescent="0.2">
      <c r="C276" s="28"/>
      <c r="G276" s="5" t="str">
        <f t="shared" ref="G276:G339" si="31">IF(C276="","",IF(OR(G275="KILL",G275=""),"",IF(COUNTIF(E274:E276, 0) = 2, "Kill",IF(E276&gt;0,(E276+F276)/2,"Omit"))))</f>
        <v/>
      </c>
      <c r="I276" s="5" t="str">
        <f t="shared" si="29"/>
        <v/>
      </c>
      <c r="K276" s="77"/>
      <c r="O276" s="5" t="str">
        <f t="shared" ref="O276:O339" si="32">IF(K276="","",IF(OR(O275="KILL",O275=""),"",IF(COUNTIF(M274:M276, 0) = 2, "Kill",IF(M276&gt;0,(M276+N276)/2,"Omit"))))</f>
        <v/>
      </c>
      <c r="Y276" s="5" t="str">
        <f t="shared" ref="Y276:Y339" si="33">IF(U276="","",IF(OR(Y275="KILL",Y275=""),"",IF(COUNTIF(W274:W276, 0) = 2, "Kill",IF(W276&gt;0,(W276+X276)/2,"Omit"))))</f>
        <v/>
      </c>
      <c r="AA276" s="5" t="str">
        <f t="shared" si="30"/>
        <v/>
      </c>
      <c r="AG276" s="5" t="str">
        <f t="shared" ref="AG276:AG339" si="34">IF(AC276="","",IF(OR(AG275="KILL",AG275=""),"",IF(COUNTIF(AE274:AE276, 0) = 2, "Kill",IF(AE276&gt;0,(AE276+AF276)/2,"Omit"))))</f>
        <v/>
      </c>
    </row>
    <row r="277" spans="3:33" x14ac:dyDescent="0.2">
      <c r="C277" s="28"/>
      <c r="G277" s="5" t="str">
        <f t="shared" si="31"/>
        <v/>
      </c>
      <c r="I277" s="5" t="str">
        <f t="shared" si="29"/>
        <v/>
      </c>
      <c r="K277" s="77"/>
      <c r="O277" s="5" t="str">
        <f t="shared" si="32"/>
        <v/>
      </c>
      <c r="Y277" s="5" t="str">
        <f t="shared" si="33"/>
        <v/>
      </c>
      <c r="AA277" s="5" t="str">
        <f t="shared" si="30"/>
        <v/>
      </c>
      <c r="AG277" s="5" t="str">
        <f t="shared" si="34"/>
        <v/>
      </c>
    </row>
    <row r="278" spans="3:33" x14ac:dyDescent="0.2">
      <c r="C278" s="28"/>
      <c r="G278" s="5" t="str">
        <f t="shared" si="31"/>
        <v/>
      </c>
      <c r="I278" s="5" t="str">
        <f t="shared" si="29"/>
        <v/>
      </c>
      <c r="K278" s="77"/>
      <c r="O278" s="5" t="str">
        <f t="shared" si="32"/>
        <v/>
      </c>
      <c r="Y278" s="5" t="str">
        <f t="shared" si="33"/>
        <v/>
      </c>
      <c r="AA278" s="5" t="str">
        <f t="shared" si="30"/>
        <v/>
      </c>
      <c r="AG278" s="5" t="str">
        <f t="shared" si="34"/>
        <v/>
      </c>
    </row>
    <row r="279" spans="3:33" x14ac:dyDescent="0.2">
      <c r="C279" s="28"/>
      <c r="G279" s="5" t="str">
        <f t="shared" si="31"/>
        <v/>
      </c>
      <c r="I279" s="5" t="str">
        <f t="shared" si="29"/>
        <v/>
      </c>
      <c r="K279" s="77"/>
      <c r="O279" s="5" t="str">
        <f t="shared" si="32"/>
        <v/>
      </c>
      <c r="Y279" s="5" t="str">
        <f t="shared" si="33"/>
        <v/>
      </c>
      <c r="AA279" s="5" t="str">
        <f t="shared" si="30"/>
        <v/>
      </c>
      <c r="AG279" s="5" t="str">
        <f t="shared" si="34"/>
        <v/>
      </c>
    </row>
    <row r="280" spans="3:33" x14ac:dyDescent="0.2">
      <c r="C280" s="28"/>
      <c r="G280" s="5" t="str">
        <f t="shared" si="31"/>
        <v/>
      </c>
      <c r="I280" s="5" t="str">
        <f t="shared" si="29"/>
        <v/>
      </c>
      <c r="K280" s="77"/>
      <c r="O280" s="5" t="str">
        <f t="shared" si="32"/>
        <v/>
      </c>
      <c r="Y280" s="5" t="str">
        <f t="shared" si="33"/>
        <v/>
      </c>
      <c r="AA280" s="5" t="str">
        <f t="shared" si="30"/>
        <v/>
      </c>
      <c r="AG280" s="5" t="str">
        <f t="shared" si="34"/>
        <v/>
      </c>
    </row>
    <row r="281" spans="3:33" x14ac:dyDescent="0.2">
      <c r="C281" s="28"/>
      <c r="G281" s="5" t="str">
        <f t="shared" si="31"/>
        <v/>
      </c>
      <c r="I281" s="5" t="str">
        <f t="shared" si="29"/>
        <v/>
      </c>
      <c r="K281" s="77"/>
      <c r="O281" s="5" t="str">
        <f t="shared" si="32"/>
        <v/>
      </c>
      <c r="Y281" s="5" t="str">
        <f t="shared" si="33"/>
        <v/>
      </c>
      <c r="AA281" s="5" t="str">
        <f t="shared" si="30"/>
        <v/>
      </c>
      <c r="AG281" s="5" t="str">
        <f t="shared" si="34"/>
        <v/>
      </c>
    </row>
    <row r="282" spans="3:33" x14ac:dyDescent="0.2">
      <c r="C282" s="28"/>
      <c r="G282" s="5" t="str">
        <f t="shared" si="31"/>
        <v/>
      </c>
      <c r="I282" s="5" t="str">
        <f t="shared" si="29"/>
        <v/>
      </c>
      <c r="K282" s="77"/>
      <c r="O282" s="5" t="str">
        <f t="shared" si="32"/>
        <v/>
      </c>
      <c r="Y282" s="5" t="str">
        <f t="shared" si="33"/>
        <v/>
      </c>
      <c r="AA282" s="5" t="str">
        <f t="shared" si="30"/>
        <v/>
      </c>
      <c r="AG282" s="5" t="str">
        <f t="shared" si="34"/>
        <v/>
      </c>
    </row>
    <row r="283" spans="3:33" x14ac:dyDescent="0.2">
      <c r="C283" s="28"/>
      <c r="G283" s="5" t="str">
        <f t="shared" si="31"/>
        <v/>
      </c>
      <c r="I283" s="5" t="str">
        <f t="shared" si="29"/>
        <v/>
      </c>
      <c r="K283" s="77"/>
      <c r="O283" s="5" t="str">
        <f t="shared" si="32"/>
        <v/>
      </c>
      <c r="Y283" s="5" t="str">
        <f t="shared" si="33"/>
        <v/>
      </c>
      <c r="AA283" s="5" t="str">
        <f t="shared" si="30"/>
        <v/>
      </c>
      <c r="AG283" s="5" t="str">
        <f t="shared" si="34"/>
        <v/>
      </c>
    </row>
    <row r="284" spans="3:33" x14ac:dyDescent="0.2">
      <c r="C284" s="28"/>
      <c r="G284" s="5" t="str">
        <f t="shared" si="31"/>
        <v/>
      </c>
      <c r="I284" s="5" t="str">
        <f t="shared" si="29"/>
        <v/>
      </c>
      <c r="K284" s="77"/>
      <c r="O284" s="5" t="str">
        <f t="shared" si="32"/>
        <v/>
      </c>
      <c r="Y284" s="5" t="str">
        <f t="shared" si="33"/>
        <v/>
      </c>
      <c r="AA284" s="5" t="str">
        <f t="shared" si="30"/>
        <v/>
      </c>
      <c r="AG284" s="5" t="str">
        <f t="shared" si="34"/>
        <v/>
      </c>
    </row>
    <row r="285" spans="3:33" x14ac:dyDescent="0.2">
      <c r="C285" s="28"/>
      <c r="G285" s="5" t="str">
        <f t="shared" si="31"/>
        <v/>
      </c>
      <c r="I285" s="5" t="str">
        <f t="shared" si="29"/>
        <v/>
      </c>
      <c r="K285" s="77"/>
      <c r="O285" s="5" t="str">
        <f t="shared" si="32"/>
        <v/>
      </c>
      <c r="Y285" s="5" t="str">
        <f t="shared" si="33"/>
        <v/>
      </c>
      <c r="AA285" s="5" t="str">
        <f t="shared" si="30"/>
        <v/>
      </c>
      <c r="AG285" s="5" t="str">
        <f t="shared" si="34"/>
        <v/>
      </c>
    </row>
    <row r="286" spans="3:33" x14ac:dyDescent="0.2">
      <c r="C286" s="28"/>
      <c r="G286" s="5" t="str">
        <f t="shared" si="31"/>
        <v/>
      </c>
      <c r="I286" s="5" t="str">
        <f t="shared" si="29"/>
        <v/>
      </c>
      <c r="K286" s="77"/>
      <c r="O286" s="5" t="str">
        <f t="shared" si="32"/>
        <v/>
      </c>
      <c r="Y286" s="5" t="str">
        <f t="shared" si="33"/>
        <v/>
      </c>
      <c r="AA286" s="5" t="str">
        <f t="shared" si="30"/>
        <v/>
      </c>
      <c r="AG286" s="5" t="str">
        <f t="shared" si="34"/>
        <v/>
      </c>
    </row>
    <row r="287" spans="3:33" x14ac:dyDescent="0.2">
      <c r="C287" s="28"/>
      <c r="G287" s="5" t="str">
        <f t="shared" si="31"/>
        <v/>
      </c>
      <c r="I287" s="5" t="str">
        <f t="shared" si="29"/>
        <v/>
      </c>
      <c r="K287" s="77"/>
      <c r="O287" s="5" t="str">
        <f t="shared" si="32"/>
        <v/>
      </c>
      <c r="Y287" s="5" t="str">
        <f t="shared" si="33"/>
        <v/>
      </c>
      <c r="AA287" s="5" t="str">
        <f t="shared" si="30"/>
        <v/>
      </c>
      <c r="AG287" s="5" t="str">
        <f t="shared" si="34"/>
        <v/>
      </c>
    </row>
    <row r="288" spans="3:33" x14ac:dyDescent="0.2">
      <c r="C288" s="28"/>
      <c r="G288" s="5" t="str">
        <f t="shared" si="31"/>
        <v/>
      </c>
      <c r="I288" s="5" t="str">
        <f t="shared" si="29"/>
        <v/>
      </c>
      <c r="K288" s="77"/>
      <c r="O288" s="5" t="str">
        <f t="shared" si="32"/>
        <v/>
      </c>
      <c r="Y288" s="5" t="str">
        <f t="shared" si="33"/>
        <v/>
      </c>
      <c r="AA288" s="5" t="str">
        <f t="shared" si="30"/>
        <v/>
      </c>
      <c r="AG288" s="5" t="str">
        <f t="shared" si="34"/>
        <v/>
      </c>
    </row>
    <row r="289" spans="3:33" x14ac:dyDescent="0.2">
      <c r="C289" s="28"/>
      <c r="G289" s="5" t="str">
        <f t="shared" si="31"/>
        <v/>
      </c>
      <c r="I289" s="5" t="str">
        <f t="shared" si="29"/>
        <v/>
      </c>
      <c r="K289" s="77"/>
      <c r="O289" s="5" t="str">
        <f t="shared" si="32"/>
        <v/>
      </c>
      <c r="Y289" s="5" t="str">
        <f t="shared" si="33"/>
        <v/>
      </c>
      <c r="AA289" s="5" t="str">
        <f t="shared" si="30"/>
        <v/>
      </c>
      <c r="AG289" s="5" t="str">
        <f t="shared" si="34"/>
        <v/>
      </c>
    </row>
    <row r="290" spans="3:33" x14ac:dyDescent="0.2">
      <c r="C290" s="28"/>
      <c r="G290" s="5" t="str">
        <f t="shared" si="31"/>
        <v/>
      </c>
      <c r="I290" s="5" t="str">
        <f t="shared" si="29"/>
        <v/>
      </c>
      <c r="K290" s="77"/>
      <c r="O290" s="5" t="str">
        <f t="shared" si="32"/>
        <v/>
      </c>
      <c r="Y290" s="5" t="str">
        <f t="shared" si="33"/>
        <v/>
      </c>
      <c r="AA290" s="5" t="str">
        <f t="shared" si="30"/>
        <v/>
      </c>
      <c r="AG290" s="5" t="str">
        <f t="shared" si="34"/>
        <v/>
      </c>
    </row>
    <row r="291" spans="3:33" x14ac:dyDescent="0.2">
      <c r="C291" s="28"/>
      <c r="G291" s="5" t="str">
        <f t="shared" si="31"/>
        <v/>
      </c>
      <c r="I291" s="5" t="str">
        <f t="shared" si="29"/>
        <v/>
      </c>
      <c r="K291" s="77"/>
      <c r="O291" s="5" t="str">
        <f t="shared" si="32"/>
        <v/>
      </c>
      <c r="Y291" s="5" t="str">
        <f t="shared" si="33"/>
        <v/>
      </c>
      <c r="AA291" s="5" t="str">
        <f t="shared" si="30"/>
        <v/>
      </c>
      <c r="AG291" s="5" t="str">
        <f t="shared" si="34"/>
        <v/>
      </c>
    </row>
    <row r="292" spans="3:33" x14ac:dyDescent="0.2">
      <c r="C292" s="28"/>
      <c r="G292" s="5" t="str">
        <f t="shared" si="31"/>
        <v/>
      </c>
      <c r="I292" s="5" t="str">
        <f t="shared" si="29"/>
        <v/>
      </c>
      <c r="K292" s="77"/>
      <c r="O292" s="5" t="str">
        <f t="shared" si="32"/>
        <v/>
      </c>
      <c r="Y292" s="5" t="str">
        <f t="shared" si="33"/>
        <v/>
      </c>
      <c r="AA292" s="5" t="str">
        <f t="shared" si="30"/>
        <v/>
      </c>
      <c r="AG292" s="5" t="str">
        <f t="shared" si="34"/>
        <v/>
      </c>
    </row>
    <row r="293" spans="3:33" x14ac:dyDescent="0.2">
      <c r="C293" s="28"/>
      <c r="G293" s="5" t="str">
        <f t="shared" si="31"/>
        <v/>
      </c>
      <c r="I293" s="5" t="str">
        <f t="shared" si="29"/>
        <v/>
      </c>
      <c r="K293" s="77"/>
      <c r="O293" s="5" t="str">
        <f t="shared" si="32"/>
        <v/>
      </c>
      <c r="Y293" s="5" t="str">
        <f t="shared" si="33"/>
        <v/>
      </c>
      <c r="AA293" s="5" t="str">
        <f t="shared" si="30"/>
        <v/>
      </c>
      <c r="AG293" s="5" t="str">
        <f t="shared" si="34"/>
        <v/>
      </c>
    </row>
    <row r="294" spans="3:33" x14ac:dyDescent="0.2">
      <c r="C294" s="28"/>
      <c r="G294" s="5" t="str">
        <f t="shared" si="31"/>
        <v/>
      </c>
      <c r="I294" s="5" t="str">
        <f t="shared" si="29"/>
        <v/>
      </c>
      <c r="K294" s="77"/>
      <c r="O294" s="5" t="str">
        <f t="shared" si="32"/>
        <v/>
      </c>
      <c r="Y294" s="5" t="str">
        <f t="shared" si="33"/>
        <v/>
      </c>
      <c r="AA294" s="5" t="str">
        <f t="shared" si="30"/>
        <v/>
      </c>
      <c r="AG294" s="5" t="str">
        <f t="shared" si="34"/>
        <v/>
      </c>
    </row>
    <row r="295" spans="3:33" x14ac:dyDescent="0.2">
      <c r="C295" s="28"/>
      <c r="G295" s="5" t="str">
        <f t="shared" si="31"/>
        <v/>
      </c>
      <c r="I295" s="5" t="str">
        <f t="shared" si="29"/>
        <v/>
      </c>
      <c r="K295" s="77"/>
      <c r="O295" s="5" t="str">
        <f t="shared" si="32"/>
        <v/>
      </c>
      <c r="Y295" s="5" t="str">
        <f t="shared" si="33"/>
        <v/>
      </c>
      <c r="AA295" s="5" t="str">
        <f t="shared" si="30"/>
        <v/>
      </c>
      <c r="AG295" s="5" t="str">
        <f t="shared" si="34"/>
        <v/>
      </c>
    </row>
    <row r="296" spans="3:33" x14ac:dyDescent="0.2">
      <c r="C296" s="28"/>
      <c r="G296" s="5" t="str">
        <f t="shared" si="31"/>
        <v/>
      </c>
      <c r="I296" s="5" t="str">
        <f t="shared" si="29"/>
        <v/>
      </c>
      <c r="K296" s="77"/>
      <c r="O296" s="5" t="str">
        <f t="shared" si="32"/>
        <v/>
      </c>
      <c r="Y296" s="5" t="str">
        <f t="shared" si="33"/>
        <v/>
      </c>
      <c r="AA296" s="5" t="str">
        <f t="shared" si="30"/>
        <v/>
      </c>
      <c r="AG296" s="5" t="str">
        <f t="shared" si="34"/>
        <v/>
      </c>
    </row>
    <row r="297" spans="3:33" x14ac:dyDescent="0.2">
      <c r="C297" s="28"/>
      <c r="G297" s="5" t="str">
        <f t="shared" si="31"/>
        <v/>
      </c>
      <c r="I297" s="5" t="str">
        <f t="shared" si="29"/>
        <v/>
      </c>
      <c r="K297" s="77"/>
      <c r="O297" s="5" t="str">
        <f t="shared" si="32"/>
        <v/>
      </c>
      <c r="Y297" s="5" t="str">
        <f t="shared" si="33"/>
        <v/>
      </c>
      <c r="AA297" s="5" t="str">
        <f t="shared" si="30"/>
        <v/>
      </c>
      <c r="AG297" s="5" t="str">
        <f t="shared" si="34"/>
        <v/>
      </c>
    </row>
    <row r="298" spans="3:33" x14ac:dyDescent="0.2">
      <c r="C298" s="28"/>
      <c r="G298" s="5" t="str">
        <f t="shared" si="31"/>
        <v/>
      </c>
      <c r="I298" s="5" t="str">
        <f t="shared" si="29"/>
        <v/>
      </c>
      <c r="K298" s="77"/>
      <c r="O298" s="5" t="str">
        <f t="shared" si="32"/>
        <v/>
      </c>
      <c r="Y298" s="5" t="str">
        <f t="shared" si="33"/>
        <v/>
      </c>
      <c r="AA298" s="5" t="str">
        <f t="shared" si="30"/>
        <v/>
      </c>
      <c r="AG298" s="5" t="str">
        <f t="shared" si="34"/>
        <v/>
      </c>
    </row>
    <row r="299" spans="3:33" x14ac:dyDescent="0.2">
      <c r="C299" s="28"/>
      <c r="G299" s="5" t="str">
        <f t="shared" si="31"/>
        <v/>
      </c>
      <c r="I299" s="5" t="str">
        <f t="shared" si="29"/>
        <v/>
      </c>
      <c r="K299" s="77"/>
      <c r="O299" s="5" t="str">
        <f t="shared" si="32"/>
        <v/>
      </c>
      <c r="Y299" s="5" t="str">
        <f t="shared" si="33"/>
        <v/>
      </c>
      <c r="AA299" s="5" t="str">
        <f t="shared" si="30"/>
        <v/>
      </c>
      <c r="AG299" s="5" t="str">
        <f t="shared" si="34"/>
        <v/>
      </c>
    </row>
    <row r="300" spans="3:33" x14ac:dyDescent="0.2">
      <c r="C300" s="28"/>
      <c r="G300" s="5" t="str">
        <f t="shared" si="31"/>
        <v/>
      </c>
      <c r="I300" s="5" t="str">
        <f t="shared" si="29"/>
        <v/>
      </c>
      <c r="K300" s="77"/>
      <c r="O300" s="5" t="str">
        <f t="shared" si="32"/>
        <v/>
      </c>
      <c r="Y300" s="5" t="str">
        <f t="shared" si="33"/>
        <v/>
      </c>
      <c r="AA300" s="5" t="str">
        <f t="shared" si="30"/>
        <v/>
      </c>
      <c r="AG300" s="5" t="str">
        <f t="shared" si="34"/>
        <v/>
      </c>
    </row>
    <row r="301" spans="3:33" x14ac:dyDescent="0.2">
      <c r="C301" s="28"/>
      <c r="G301" s="5" t="str">
        <f t="shared" si="31"/>
        <v/>
      </c>
      <c r="I301" s="5" t="str">
        <f t="shared" si="29"/>
        <v/>
      </c>
      <c r="K301" s="77"/>
      <c r="O301" s="5" t="str">
        <f t="shared" si="32"/>
        <v/>
      </c>
      <c r="Y301" s="5" t="str">
        <f t="shared" si="33"/>
        <v/>
      </c>
      <c r="AA301" s="5" t="str">
        <f t="shared" si="30"/>
        <v/>
      </c>
      <c r="AG301" s="5" t="str">
        <f t="shared" si="34"/>
        <v/>
      </c>
    </row>
    <row r="302" spans="3:33" x14ac:dyDescent="0.2">
      <c r="C302" s="28"/>
      <c r="G302" s="5" t="str">
        <f t="shared" si="31"/>
        <v/>
      </c>
      <c r="I302" s="5" t="str">
        <f t="shared" si="29"/>
        <v/>
      </c>
      <c r="K302" s="77"/>
      <c r="O302" s="5" t="str">
        <f t="shared" si="32"/>
        <v/>
      </c>
      <c r="Y302" s="5" t="str">
        <f t="shared" si="33"/>
        <v/>
      </c>
      <c r="AA302" s="5" t="str">
        <f t="shared" si="30"/>
        <v/>
      </c>
      <c r="AG302" s="5" t="str">
        <f t="shared" si="34"/>
        <v/>
      </c>
    </row>
    <row r="303" spans="3:33" x14ac:dyDescent="0.2">
      <c r="C303" s="28"/>
      <c r="G303" s="5" t="str">
        <f t="shared" si="31"/>
        <v/>
      </c>
      <c r="I303" s="5" t="str">
        <f t="shared" si="29"/>
        <v/>
      </c>
      <c r="K303" s="77"/>
      <c r="O303" s="5" t="str">
        <f t="shared" si="32"/>
        <v/>
      </c>
      <c r="Y303" s="5" t="str">
        <f t="shared" si="33"/>
        <v/>
      </c>
      <c r="AA303" s="5" t="str">
        <f t="shared" si="30"/>
        <v/>
      </c>
      <c r="AG303" s="5" t="str">
        <f t="shared" si="34"/>
        <v/>
      </c>
    </row>
    <row r="304" spans="3:33" x14ac:dyDescent="0.2">
      <c r="C304" s="28"/>
      <c r="G304" s="5" t="str">
        <f t="shared" si="31"/>
        <v/>
      </c>
      <c r="I304" s="5" t="str">
        <f t="shared" si="29"/>
        <v/>
      </c>
      <c r="K304" s="77"/>
      <c r="O304" s="5" t="str">
        <f t="shared" si="32"/>
        <v/>
      </c>
      <c r="Y304" s="5" t="str">
        <f t="shared" si="33"/>
        <v/>
      </c>
      <c r="AA304" s="5" t="str">
        <f t="shared" si="30"/>
        <v/>
      </c>
      <c r="AG304" s="5" t="str">
        <f t="shared" si="34"/>
        <v/>
      </c>
    </row>
    <row r="305" spans="3:33" x14ac:dyDescent="0.2">
      <c r="C305" s="28"/>
      <c r="G305" s="5" t="str">
        <f t="shared" si="31"/>
        <v/>
      </c>
      <c r="I305" s="5" t="str">
        <f t="shared" si="29"/>
        <v/>
      </c>
      <c r="K305" s="77"/>
      <c r="O305" s="5" t="str">
        <f t="shared" si="32"/>
        <v/>
      </c>
      <c r="Y305" s="5" t="str">
        <f t="shared" si="33"/>
        <v/>
      </c>
      <c r="AA305" s="5" t="str">
        <f t="shared" si="30"/>
        <v/>
      </c>
      <c r="AG305" s="5" t="str">
        <f t="shared" si="34"/>
        <v/>
      </c>
    </row>
    <row r="306" spans="3:33" x14ac:dyDescent="0.2">
      <c r="C306" s="28"/>
      <c r="G306" s="5" t="str">
        <f t="shared" si="31"/>
        <v/>
      </c>
      <c r="I306" s="5" t="str">
        <f t="shared" si="29"/>
        <v/>
      </c>
      <c r="K306" s="77"/>
      <c r="O306" s="5" t="str">
        <f t="shared" si="32"/>
        <v/>
      </c>
      <c r="Y306" s="5" t="str">
        <f t="shared" si="33"/>
        <v/>
      </c>
      <c r="AA306" s="5" t="str">
        <f t="shared" si="30"/>
        <v/>
      </c>
      <c r="AG306" s="5" t="str">
        <f t="shared" si="34"/>
        <v/>
      </c>
    </row>
    <row r="307" spans="3:33" x14ac:dyDescent="0.2">
      <c r="C307" s="28"/>
      <c r="G307" s="5" t="str">
        <f t="shared" si="31"/>
        <v/>
      </c>
      <c r="I307" s="5" t="str">
        <f t="shared" si="29"/>
        <v/>
      </c>
      <c r="K307" s="77"/>
      <c r="O307" s="5" t="str">
        <f t="shared" si="32"/>
        <v/>
      </c>
      <c r="Y307" s="5" t="str">
        <f t="shared" si="33"/>
        <v/>
      </c>
      <c r="AA307" s="5" t="str">
        <f t="shared" si="30"/>
        <v/>
      </c>
      <c r="AG307" s="5" t="str">
        <f t="shared" si="34"/>
        <v/>
      </c>
    </row>
    <row r="308" spans="3:33" x14ac:dyDescent="0.2">
      <c r="C308" s="28"/>
      <c r="G308" s="5" t="str">
        <f t="shared" si="31"/>
        <v/>
      </c>
      <c r="I308" s="5" t="str">
        <f t="shared" si="29"/>
        <v/>
      </c>
      <c r="K308" s="77"/>
      <c r="O308" s="5" t="str">
        <f t="shared" si="32"/>
        <v/>
      </c>
      <c r="Y308" s="5" t="str">
        <f t="shared" si="33"/>
        <v/>
      </c>
      <c r="AA308" s="5" t="str">
        <f t="shared" si="30"/>
        <v/>
      </c>
      <c r="AG308" s="5" t="str">
        <f t="shared" si="34"/>
        <v/>
      </c>
    </row>
    <row r="309" spans="3:33" x14ac:dyDescent="0.2">
      <c r="C309" s="28"/>
      <c r="G309" s="5" t="str">
        <f t="shared" si="31"/>
        <v/>
      </c>
      <c r="I309" s="5" t="str">
        <f t="shared" si="29"/>
        <v/>
      </c>
      <c r="K309" s="77"/>
      <c r="O309" s="5" t="str">
        <f t="shared" si="32"/>
        <v/>
      </c>
      <c r="Y309" s="5" t="str">
        <f t="shared" si="33"/>
        <v/>
      </c>
      <c r="AA309" s="5" t="str">
        <f t="shared" si="30"/>
        <v/>
      </c>
      <c r="AG309" s="5" t="str">
        <f t="shared" si="34"/>
        <v/>
      </c>
    </row>
    <row r="310" spans="3:33" x14ac:dyDescent="0.2">
      <c r="C310" s="28"/>
      <c r="G310" s="5" t="str">
        <f t="shared" si="31"/>
        <v/>
      </c>
      <c r="I310" s="5" t="str">
        <f t="shared" si="29"/>
        <v/>
      </c>
      <c r="K310" s="77"/>
      <c r="O310" s="5" t="str">
        <f t="shared" si="32"/>
        <v/>
      </c>
      <c r="Y310" s="5" t="str">
        <f t="shared" si="33"/>
        <v/>
      </c>
      <c r="AA310" s="5" t="str">
        <f t="shared" si="30"/>
        <v/>
      </c>
      <c r="AG310" s="5" t="str">
        <f t="shared" si="34"/>
        <v/>
      </c>
    </row>
    <row r="311" spans="3:33" x14ac:dyDescent="0.2">
      <c r="C311" s="28"/>
      <c r="G311" s="5" t="str">
        <f t="shared" si="31"/>
        <v/>
      </c>
      <c r="I311" s="5" t="str">
        <f t="shared" si="29"/>
        <v/>
      </c>
      <c r="K311" s="77"/>
      <c r="O311" s="5" t="str">
        <f t="shared" si="32"/>
        <v/>
      </c>
      <c r="Y311" s="5" t="str">
        <f t="shared" si="33"/>
        <v/>
      </c>
      <c r="AA311" s="5" t="str">
        <f t="shared" si="30"/>
        <v/>
      </c>
      <c r="AG311" s="5" t="str">
        <f t="shared" si="34"/>
        <v/>
      </c>
    </row>
    <row r="312" spans="3:33" x14ac:dyDescent="0.2">
      <c r="C312" s="28"/>
      <c r="G312" s="5" t="str">
        <f t="shared" si="31"/>
        <v/>
      </c>
      <c r="I312" s="5" t="str">
        <f t="shared" si="29"/>
        <v/>
      </c>
      <c r="K312" s="77"/>
      <c r="O312" s="5" t="str">
        <f t="shared" si="32"/>
        <v/>
      </c>
      <c r="Y312" s="5" t="str">
        <f t="shared" si="33"/>
        <v/>
      </c>
      <c r="AA312" s="5" t="str">
        <f t="shared" si="30"/>
        <v/>
      </c>
      <c r="AG312" s="5" t="str">
        <f t="shared" si="34"/>
        <v/>
      </c>
    </row>
    <row r="313" spans="3:33" x14ac:dyDescent="0.2">
      <c r="C313" s="28"/>
      <c r="G313" s="5" t="str">
        <f t="shared" si="31"/>
        <v/>
      </c>
      <c r="I313" s="5" t="str">
        <f t="shared" si="29"/>
        <v/>
      </c>
      <c r="K313" s="77"/>
      <c r="O313" s="5" t="str">
        <f t="shared" si="32"/>
        <v/>
      </c>
      <c r="Y313" s="5" t="str">
        <f t="shared" si="33"/>
        <v/>
      </c>
      <c r="AA313" s="5" t="str">
        <f t="shared" si="30"/>
        <v/>
      </c>
      <c r="AG313" s="5" t="str">
        <f t="shared" si="34"/>
        <v/>
      </c>
    </row>
    <row r="314" spans="3:33" x14ac:dyDescent="0.2">
      <c r="C314" s="28"/>
      <c r="G314" s="5" t="str">
        <f t="shared" si="31"/>
        <v/>
      </c>
      <c r="I314" s="5" t="str">
        <f t="shared" si="29"/>
        <v/>
      </c>
      <c r="K314" s="77"/>
      <c r="O314" s="5" t="str">
        <f t="shared" si="32"/>
        <v/>
      </c>
      <c r="Y314" s="5" t="str">
        <f t="shared" si="33"/>
        <v/>
      </c>
      <c r="AA314" s="5" t="str">
        <f t="shared" si="30"/>
        <v/>
      </c>
      <c r="AG314" s="5" t="str">
        <f t="shared" si="34"/>
        <v/>
      </c>
    </row>
    <row r="315" spans="3:33" x14ac:dyDescent="0.2">
      <c r="C315" s="28"/>
      <c r="G315" s="5" t="str">
        <f t="shared" si="31"/>
        <v/>
      </c>
      <c r="I315" s="5" t="str">
        <f t="shared" si="29"/>
        <v/>
      </c>
      <c r="K315" s="77"/>
      <c r="O315" s="5" t="str">
        <f t="shared" si="32"/>
        <v/>
      </c>
      <c r="Y315" s="5" t="str">
        <f t="shared" si="33"/>
        <v/>
      </c>
      <c r="AA315" s="5" t="str">
        <f t="shared" si="30"/>
        <v/>
      </c>
      <c r="AG315" s="5" t="str">
        <f t="shared" si="34"/>
        <v/>
      </c>
    </row>
    <row r="316" spans="3:33" x14ac:dyDescent="0.2">
      <c r="C316" s="28"/>
      <c r="G316" s="5" t="str">
        <f t="shared" si="31"/>
        <v/>
      </c>
      <c r="I316" s="5" t="str">
        <f t="shared" si="29"/>
        <v/>
      </c>
      <c r="K316" s="77"/>
      <c r="O316" s="5" t="str">
        <f t="shared" si="32"/>
        <v/>
      </c>
      <c r="Y316" s="5" t="str">
        <f t="shared" si="33"/>
        <v/>
      </c>
      <c r="AA316" s="5" t="str">
        <f t="shared" si="30"/>
        <v/>
      </c>
      <c r="AG316" s="5" t="str">
        <f t="shared" si="34"/>
        <v/>
      </c>
    </row>
    <row r="317" spans="3:33" x14ac:dyDescent="0.2">
      <c r="C317" s="28"/>
      <c r="G317" s="5" t="str">
        <f t="shared" si="31"/>
        <v/>
      </c>
      <c r="I317" s="5" t="str">
        <f t="shared" si="29"/>
        <v/>
      </c>
      <c r="K317" s="77"/>
      <c r="O317" s="5" t="str">
        <f t="shared" si="32"/>
        <v/>
      </c>
      <c r="Y317" s="5" t="str">
        <f t="shared" si="33"/>
        <v/>
      </c>
      <c r="AA317" s="5" t="str">
        <f t="shared" si="30"/>
        <v/>
      </c>
      <c r="AG317" s="5" t="str">
        <f t="shared" si="34"/>
        <v/>
      </c>
    </row>
    <row r="318" spans="3:33" x14ac:dyDescent="0.2">
      <c r="C318" s="28"/>
      <c r="G318" s="5" t="str">
        <f t="shared" si="31"/>
        <v/>
      </c>
      <c r="I318" s="5" t="str">
        <f t="shared" si="29"/>
        <v/>
      </c>
      <c r="K318" s="77"/>
      <c r="O318" s="5" t="str">
        <f t="shared" si="32"/>
        <v/>
      </c>
      <c r="Y318" s="5" t="str">
        <f t="shared" si="33"/>
        <v/>
      </c>
      <c r="AA318" s="5" t="str">
        <f t="shared" si="30"/>
        <v/>
      </c>
      <c r="AG318" s="5" t="str">
        <f t="shared" si="34"/>
        <v/>
      </c>
    </row>
    <row r="319" spans="3:33" x14ac:dyDescent="0.2">
      <c r="C319" s="28"/>
      <c r="G319" s="5" t="str">
        <f t="shared" si="31"/>
        <v/>
      </c>
      <c r="I319" s="5" t="str">
        <f t="shared" si="29"/>
        <v/>
      </c>
      <c r="K319" s="77"/>
      <c r="O319" s="5" t="str">
        <f t="shared" si="32"/>
        <v/>
      </c>
      <c r="Y319" s="5" t="str">
        <f t="shared" si="33"/>
        <v/>
      </c>
      <c r="AA319" s="5" t="str">
        <f t="shared" si="30"/>
        <v/>
      </c>
      <c r="AG319" s="5" t="str">
        <f t="shared" si="34"/>
        <v/>
      </c>
    </row>
    <row r="320" spans="3:33" x14ac:dyDescent="0.2">
      <c r="C320" s="28"/>
      <c r="G320" s="5" t="str">
        <f t="shared" si="31"/>
        <v/>
      </c>
      <c r="I320" s="5" t="str">
        <f t="shared" si="29"/>
        <v/>
      </c>
      <c r="K320" s="77"/>
      <c r="O320" s="5" t="str">
        <f t="shared" si="32"/>
        <v/>
      </c>
      <c r="Y320" s="5" t="str">
        <f t="shared" si="33"/>
        <v/>
      </c>
      <c r="AA320" s="5" t="str">
        <f t="shared" si="30"/>
        <v/>
      </c>
      <c r="AG320" s="5" t="str">
        <f t="shared" si="34"/>
        <v/>
      </c>
    </row>
    <row r="321" spans="3:33" x14ac:dyDescent="0.2">
      <c r="C321" s="28"/>
      <c r="G321" s="5" t="str">
        <f t="shared" si="31"/>
        <v/>
      </c>
      <c r="I321" s="5" t="str">
        <f t="shared" si="29"/>
        <v/>
      </c>
      <c r="K321" s="77"/>
      <c r="O321" s="5" t="str">
        <f t="shared" si="32"/>
        <v/>
      </c>
      <c r="Y321" s="5" t="str">
        <f t="shared" si="33"/>
        <v/>
      </c>
      <c r="AA321" s="5" t="str">
        <f t="shared" si="30"/>
        <v/>
      </c>
      <c r="AG321" s="5" t="str">
        <f t="shared" si="34"/>
        <v/>
      </c>
    </row>
    <row r="322" spans="3:33" x14ac:dyDescent="0.2">
      <c r="C322" s="28"/>
      <c r="G322" s="5" t="str">
        <f t="shared" si="31"/>
        <v/>
      </c>
      <c r="I322" s="5" t="str">
        <f t="shared" si="29"/>
        <v/>
      </c>
      <c r="K322" s="77"/>
      <c r="O322" s="5" t="str">
        <f t="shared" si="32"/>
        <v/>
      </c>
      <c r="Y322" s="5" t="str">
        <f t="shared" si="33"/>
        <v/>
      </c>
      <c r="AA322" s="5" t="str">
        <f t="shared" si="30"/>
        <v/>
      </c>
      <c r="AG322" s="5" t="str">
        <f t="shared" si="34"/>
        <v/>
      </c>
    </row>
    <row r="323" spans="3:33" x14ac:dyDescent="0.2">
      <c r="C323" s="28"/>
      <c r="G323" s="5" t="str">
        <f t="shared" si="31"/>
        <v/>
      </c>
      <c r="I323" s="5" t="str">
        <f t="shared" si="29"/>
        <v/>
      </c>
      <c r="K323" s="77"/>
      <c r="O323" s="5" t="str">
        <f t="shared" si="32"/>
        <v/>
      </c>
      <c r="Y323" s="5" t="str">
        <f t="shared" si="33"/>
        <v/>
      </c>
      <c r="AA323" s="5" t="str">
        <f t="shared" si="30"/>
        <v/>
      </c>
      <c r="AG323" s="5" t="str">
        <f t="shared" si="34"/>
        <v/>
      </c>
    </row>
    <row r="324" spans="3:33" x14ac:dyDescent="0.2">
      <c r="C324" s="28"/>
      <c r="G324" s="5" t="str">
        <f t="shared" si="31"/>
        <v/>
      </c>
      <c r="I324" s="5" t="str">
        <f t="shared" si="29"/>
        <v/>
      </c>
      <c r="K324" s="77"/>
      <c r="O324" s="5" t="str">
        <f t="shared" si="32"/>
        <v/>
      </c>
      <c r="Y324" s="5" t="str">
        <f t="shared" si="33"/>
        <v/>
      </c>
      <c r="AA324" s="5" t="str">
        <f t="shared" si="30"/>
        <v/>
      </c>
      <c r="AG324" s="5" t="str">
        <f t="shared" si="34"/>
        <v/>
      </c>
    </row>
    <row r="325" spans="3:33" x14ac:dyDescent="0.2">
      <c r="C325" s="28"/>
      <c r="G325" s="5" t="str">
        <f t="shared" si="31"/>
        <v/>
      </c>
      <c r="I325" s="5" t="str">
        <f t="shared" si="29"/>
        <v/>
      </c>
      <c r="K325" s="77"/>
      <c r="O325" s="5" t="str">
        <f t="shared" si="32"/>
        <v/>
      </c>
      <c r="Y325" s="5" t="str">
        <f t="shared" si="33"/>
        <v/>
      </c>
      <c r="AA325" s="5" t="str">
        <f t="shared" si="30"/>
        <v/>
      </c>
      <c r="AG325" s="5" t="str">
        <f t="shared" si="34"/>
        <v/>
      </c>
    </row>
    <row r="326" spans="3:33" x14ac:dyDescent="0.2">
      <c r="C326" s="28"/>
      <c r="G326" s="5" t="str">
        <f t="shared" si="31"/>
        <v/>
      </c>
      <c r="I326" s="5" t="str">
        <f t="shared" si="29"/>
        <v/>
      </c>
      <c r="K326" s="77"/>
      <c r="O326" s="5" t="str">
        <f t="shared" si="32"/>
        <v/>
      </c>
      <c r="Y326" s="5" t="str">
        <f t="shared" si="33"/>
        <v/>
      </c>
      <c r="AA326" s="5" t="str">
        <f t="shared" si="30"/>
        <v/>
      </c>
      <c r="AG326" s="5" t="str">
        <f t="shared" si="34"/>
        <v/>
      </c>
    </row>
    <row r="327" spans="3:33" x14ac:dyDescent="0.2">
      <c r="C327" s="28"/>
      <c r="G327" s="5" t="str">
        <f t="shared" si="31"/>
        <v/>
      </c>
      <c r="I327" s="5" t="str">
        <f t="shared" si="29"/>
        <v/>
      </c>
      <c r="K327" s="77"/>
      <c r="O327" s="5" t="str">
        <f t="shared" si="32"/>
        <v/>
      </c>
      <c r="Y327" s="5" t="str">
        <f t="shared" si="33"/>
        <v/>
      </c>
      <c r="AA327" s="5" t="str">
        <f t="shared" si="30"/>
        <v/>
      </c>
      <c r="AG327" s="5" t="str">
        <f t="shared" si="34"/>
        <v/>
      </c>
    </row>
    <row r="328" spans="3:33" x14ac:dyDescent="0.2">
      <c r="C328" s="28"/>
      <c r="G328" s="5" t="str">
        <f t="shared" si="31"/>
        <v/>
      </c>
      <c r="I328" s="5" t="str">
        <f t="shared" si="29"/>
        <v/>
      </c>
      <c r="K328" s="77"/>
      <c r="O328" s="5" t="str">
        <f t="shared" si="32"/>
        <v/>
      </c>
      <c r="Y328" s="5" t="str">
        <f t="shared" si="33"/>
        <v/>
      </c>
      <c r="AA328" s="5" t="str">
        <f t="shared" si="30"/>
        <v/>
      </c>
      <c r="AG328" s="5" t="str">
        <f t="shared" si="34"/>
        <v/>
      </c>
    </row>
    <row r="329" spans="3:33" x14ac:dyDescent="0.2">
      <c r="C329" s="28"/>
      <c r="G329" s="5" t="str">
        <f t="shared" si="31"/>
        <v/>
      </c>
      <c r="I329" s="5" t="str">
        <f t="shared" si="29"/>
        <v/>
      </c>
      <c r="K329" s="77"/>
      <c r="O329" s="5" t="str">
        <f t="shared" si="32"/>
        <v/>
      </c>
      <c r="Y329" s="5" t="str">
        <f t="shared" si="33"/>
        <v/>
      </c>
      <c r="AA329" s="5" t="str">
        <f t="shared" si="30"/>
        <v/>
      </c>
      <c r="AG329" s="5" t="str">
        <f t="shared" si="34"/>
        <v/>
      </c>
    </row>
    <row r="330" spans="3:33" x14ac:dyDescent="0.2">
      <c r="C330" s="28"/>
      <c r="G330" s="5" t="str">
        <f t="shared" si="31"/>
        <v/>
      </c>
      <c r="I330" s="5" t="str">
        <f t="shared" si="29"/>
        <v/>
      </c>
      <c r="K330" s="77"/>
      <c r="O330" s="5" t="str">
        <f t="shared" si="32"/>
        <v/>
      </c>
      <c r="Y330" s="5" t="str">
        <f t="shared" si="33"/>
        <v/>
      </c>
      <c r="AA330" s="5" t="str">
        <f t="shared" si="30"/>
        <v/>
      </c>
      <c r="AG330" s="5" t="str">
        <f t="shared" si="34"/>
        <v/>
      </c>
    </row>
    <row r="331" spans="3:33" x14ac:dyDescent="0.2">
      <c r="C331" s="28"/>
      <c r="G331" s="5" t="str">
        <f t="shared" si="31"/>
        <v/>
      </c>
      <c r="I331" s="5" t="str">
        <f t="shared" si="29"/>
        <v/>
      </c>
      <c r="K331" s="77"/>
      <c r="O331" s="5" t="str">
        <f t="shared" si="32"/>
        <v/>
      </c>
      <c r="Y331" s="5" t="str">
        <f t="shared" si="33"/>
        <v/>
      </c>
      <c r="AA331" s="5" t="str">
        <f t="shared" si="30"/>
        <v/>
      </c>
      <c r="AG331" s="5" t="str">
        <f t="shared" si="34"/>
        <v/>
      </c>
    </row>
    <row r="332" spans="3:33" x14ac:dyDescent="0.2">
      <c r="C332" s="28"/>
      <c r="G332" s="5" t="str">
        <f t="shared" si="31"/>
        <v/>
      </c>
      <c r="I332" s="5" t="str">
        <f t="shared" si="29"/>
        <v/>
      </c>
      <c r="K332" s="77"/>
      <c r="O332" s="5" t="str">
        <f t="shared" si="32"/>
        <v/>
      </c>
      <c r="Y332" s="5" t="str">
        <f t="shared" si="33"/>
        <v/>
      </c>
      <c r="AA332" s="5" t="str">
        <f t="shared" si="30"/>
        <v/>
      </c>
      <c r="AG332" s="5" t="str">
        <f t="shared" si="34"/>
        <v/>
      </c>
    </row>
    <row r="333" spans="3:33" x14ac:dyDescent="0.2">
      <c r="C333" s="28"/>
      <c r="G333" s="5" t="str">
        <f t="shared" si="31"/>
        <v/>
      </c>
      <c r="I333" s="5" t="str">
        <f t="shared" si="29"/>
        <v/>
      </c>
      <c r="K333" s="77"/>
      <c r="O333" s="5" t="str">
        <f t="shared" si="32"/>
        <v/>
      </c>
      <c r="Y333" s="5" t="str">
        <f t="shared" si="33"/>
        <v/>
      </c>
      <c r="AA333" s="5" t="str">
        <f t="shared" si="30"/>
        <v/>
      </c>
      <c r="AG333" s="5" t="str">
        <f t="shared" si="34"/>
        <v/>
      </c>
    </row>
    <row r="334" spans="3:33" x14ac:dyDescent="0.2">
      <c r="C334" s="28"/>
      <c r="G334" s="5" t="str">
        <f t="shared" si="31"/>
        <v/>
      </c>
      <c r="I334" s="5" t="str">
        <f t="shared" si="29"/>
        <v/>
      </c>
      <c r="K334" s="77"/>
      <c r="O334" s="5" t="str">
        <f t="shared" si="32"/>
        <v/>
      </c>
      <c r="Y334" s="5" t="str">
        <f t="shared" si="33"/>
        <v/>
      </c>
      <c r="AA334" s="5" t="str">
        <f t="shared" si="30"/>
        <v/>
      </c>
      <c r="AG334" s="5" t="str">
        <f t="shared" si="34"/>
        <v/>
      </c>
    </row>
    <row r="335" spans="3:33" x14ac:dyDescent="0.2">
      <c r="C335" s="28"/>
      <c r="G335" s="5" t="str">
        <f t="shared" si="31"/>
        <v/>
      </c>
      <c r="I335" s="5" t="str">
        <f t="shared" si="29"/>
        <v/>
      </c>
      <c r="K335" s="77"/>
      <c r="O335" s="5" t="str">
        <f t="shared" si="32"/>
        <v/>
      </c>
      <c r="Y335" s="5" t="str">
        <f t="shared" si="33"/>
        <v/>
      </c>
      <c r="AA335" s="5" t="str">
        <f t="shared" si="30"/>
        <v/>
      </c>
      <c r="AG335" s="5" t="str">
        <f t="shared" si="34"/>
        <v/>
      </c>
    </row>
    <row r="336" spans="3:33" x14ac:dyDescent="0.2">
      <c r="C336" s="28"/>
      <c r="G336" s="5" t="str">
        <f t="shared" si="31"/>
        <v/>
      </c>
      <c r="I336" s="5" t="str">
        <f t="shared" si="29"/>
        <v/>
      </c>
      <c r="K336" s="77"/>
      <c r="O336" s="5" t="str">
        <f t="shared" si="32"/>
        <v/>
      </c>
      <c r="Y336" s="5" t="str">
        <f t="shared" si="33"/>
        <v/>
      </c>
      <c r="AA336" s="5" t="str">
        <f t="shared" si="30"/>
        <v/>
      </c>
      <c r="AG336" s="5" t="str">
        <f t="shared" si="34"/>
        <v/>
      </c>
    </row>
    <row r="337" spans="3:33" x14ac:dyDescent="0.2">
      <c r="C337" s="28"/>
      <c r="G337" s="5" t="str">
        <f t="shared" si="31"/>
        <v/>
      </c>
      <c r="I337" s="5" t="str">
        <f t="shared" si="29"/>
        <v/>
      </c>
      <c r="K337" s="77"/>
      <c r="O337" s="5" t="str">
        <f t="shared" si="32"/>
        <v/>
      </c>
      <c r="Y337" s="5" t="str">
        <f t="shared" si="33"/>
        <v/>
      </c>
      <c r="AA337" s="5" t="str">
        <f t="shared" si="30"/>
        <v/>
      </c>
      <c r="AG337" s="5" t="str">
        <f t="shared" si="34"/>
        <v/>
      </c>
    </row>
    <row r="338" spans="3:33" x14ac:dyDescent="0.2">
      <c r="C338" s="28"/>
      <c r="G338" s="5" t="str">
        <f t="shared" si="31"/>
        <v/>
      </c>
      <c r="I338" s="5" t="str">
        <f t="shared" ref="I338:I401" si="35">IF(L338="","",IFERROR(ABS(VLOOKUP(L338,$L$17:$O$271,4,FALSE)-VLOOKUP(L338,$D$17:$G$271,4,FALSE)),""))</f>
        <v/>
      </c>
      <c r="K338" s="77"/>
      <c r="O338" s="5" t="str">
        <f t="shared" si="32"/>
        <v/>
      </c>
      <c r="Y338" s="5" t="str">
        <f t="shared" si="33"/>
        <v/>
      </c>
      <c r="AA338" s="5" t="str">
        <f t="shared" ref="AA338:AA401" si="36">IF(AD338="","",IFERROR(ABS(VLOOKUP(AD338,$L$17:$O$271,4,FALSE)-VLOOKUP(AD338,$D$17:$G$271,4,FALSE)),""))</f>
        <v/>
      </c>
      <c r="AG338" s="5" t="str">
        <f t="shared" si="34"/>
        <v/>
      </c>
    </row>
    <row r="339" spans="3:33" x14ac:dyDescent="0.2">
      <c r="C339" s="28"/>
      <c r="G339" s="5" t="str">
        <f t="shared" si="31"/>
        <v/>
      </c>
      <c r="I339" s="5" t="str">
        <f t="shared" si="35"/>
        <v/>
      </c>
      <c r="K339" s="77"/>
      <c r="O339" s="5" t="str">
        <f t="shared" si="32"/>
        <v/>
      </c>
      <c r="Y339" s="5" t="str">
        <f t="shared" si="33"/>
        <v/>
      </c>
      <c r="AA339" s="5" t="str">
        <f t="shared" si="36"/>
        <v/>
      </c>
      <c r="AG339" s="5" t="str">
        <f t="shared" si="34"/>
        <v/>
      </c>
    </row>
    <row r="340" spans="3:33" x14ac:dyDescent="0.2">
      <c r="C340" s="28"/>
      <c r="G340" s="5" t="str">
        <f t="shared" ref="G340:G403" si="37">IF(C340="","",IF(OR(G339="KILL",G339=""),"",IF(COUNTIF(E338:E340, 0) = 2, "Kill",IF(E340&gt;0,(E340+F340)/2,"Omit"))))</f>
        <v/>
      </c>
      <c r="I340" s="5" t="str">
        <f t="shared" si="35"/>
        <v/>
      </c>
      <c r="K340" s="77"/>
      <c r="O340" s="5" t="str">
        <f t="shared" ref="O340:O403" si="38">IF(K340="","",IF(OR(O339="KILL",O339=""),"",IF(COUNTIF(M338:M340, 0) = 2, "Kill",IF(M340&gt;0,(M340+N340)/2,"Omit"))))</f>
        <v/>
      </c>
      <c r="Y340" s="5" t="str">
        <f t="shared" ref="Y340:Y403" si="39">IF(U340="","",IF(OR(Y339="KILL",Y339=""),"",IF(COUNTIF(W338:W340, 0) = 2, "Kill",IF(W340&gt;0,(W340+X340)/2,"Omit"))))</f>
        <v/>
      </c>
      <c r="AA340" s="5" t="str">
        <f t="shared" si="36"/>
        <v/>
      </c>
      <c r="AG340" s="5" t="str">
        <f t="shared" ref="AG340:AG403" si="40">IF(AC340="","",IF(OR(AG339="KILL",AG339=""),"",IF(COUNTIF(AE338:AE340, 0) = 2, "Kill",IF(AE340&gt;0,(AE340+AF340)/2,"Omit"))))</f>
        <v/>
      </c>
    </row>
    <row r="341" spans="3:33" x14ac:dyDescent="0.2">
      <c r="C341" s="28"/>
      <c r="G341" s="5" t="str">
        <f t="shared" si="37"/>
        <v/>
      </c>
      <c r="I341" s="5" t="str">
        <f t="shared" si="35"/>
        <v/>
      </c>
      <c r="K341" s="77"/>
      <c r="O341" s="5" t="str">
        <f t="shared" si="38"/>
        <v/>
      </c>
      <c r="Y341" s="5" t="str">
        <f t="shared" si="39"/>
        <v/>
      </c>
      <c r="AA341" s="5" t="str">
        <f t="shared" si="36"/>
        <v/>
      </c>
      <c r="AG341" s="5" t="str">
        <f t="shared" si="40"/>
        <v/>
      </c>
    </row>
    <row r="342" spans="3:33" x14ac:dyDescent="0.2">
      <c r="C342" s="28"/>
      <c r="G342" s="5" t="str">
        <f t="shared" si="37"/>
        <v/>
      </c>
      <c r="I342" s="5" t="str">
        <f t="shared" si="35"/>
        <v/>
      </c>
      <c r="K342" s="77"/>
      <c r="O342" s="5" t="str">
        <f t="shared" si="38"/>
        <v/>
      </c>
      <c r="Y342" s="5" t="str">
        <f t="shared" si="39"/>
        <v/>
      </c>
      <c r="AA342" s="5" t="str">
        <f t="shared" si="36"/>
        <v/>
      </c>
      <c r="AG342" s="5" t="str">
        <f t="shared" si="40"/>
        <v/>
      </c>
    </row>
    <row r="343" spans="3:33" x14ac:dyDescent="0.2">
      <c r="C343" s="28"/>
      <c r="G343" s="5" t="str">
        <f t="shared" si="37"/>
        <v/>
      </c>
      <c r="I343" s="5" t="str">
        <f t="shared" si="35"/>
        <v/>
      </c>
      <c r="K343" s="77"/>
      <c r="O343" s="5" t="str">
        <f t="shared" si="38"/>
        <v/>
      </c>
      <c r="Y343" s="5" t="str">
        <f t="shared" si="39"/>
        <v/>
      </c>
      <c r="AA343" s="5" t="str">
        <f t="shared" si="36"/>
        <v/>
      </c>
      <c r="AG343" s="5" t="str">
        <f t="shared" si="40"/>
        <v/>
      </c>
    </row>
    <row r="344" spans="3:33" x14ac:dyDescent="0.2">
      <c r="C344" s="28"/>
      <c r="G344" s="5" t="str">
        <f t="shared" si="37"/>
        <v/>
      </c>
      <c r="I344" s="5" t="str">
        <f t="shared" si="35"/>
        <v/>
      </c>
      <c r="K344" s="77"/>
      <c r="O344" s="5" t="str">
        <f t="shared" si="38"/>
        <v/>
      </c>
      <c r="Y344" s="5" t="str">
        <f t="shared" si="39"/>
        <v/>
      </c>
      <c r="AA344" s="5" t="str">
        <f t="shared" si="36"/>
        <v/>
      </c>
      <c r="AG344" s="5" t="str">
        <f t="shared" si="40"/>
        <v/>
      </c>
    </row>
    <row r="345" spans="3:33" x14ac:dyDescent="0.2">
      <c r="C345" s="28"/>
      <c r="G345" s="5" t="str">
        <f t="shared" si="37"/>
        <v/>
      </c>
      <c r="I345" s="5" t="str">
        <f t="shared" si="35"/>
        <v/>
      </c>
      <c r="K345" s="77"/>
      <c r="O345" s="5" t="str">
        <f t="shared" si="38"/>
        <v/>
      </c>
      <c r="Y345" s="5" t="str">
        <f t="shared" si="39"/>
        <v/>
      </c>
      <c r="AA345" s="5" t="str">
        <f t="shared" si="36"/>
        <v/>
      </c>
      <c r="AG345" s="5" t="str">
        <f t="shared" si="40"/>
        <v/>
      </c>
    </row>
    <row r="346" spans="3:33" x14ac:dyDescent="0.2">
      <c r="C346" s="28"/>
      <c r="G346" s="5" t="str">
        <f t="shared" si="37"/>
        <v/>
      </c>
      <c r="I346" s="5" t="str">
        <f t="shared" si="35"/>
        <v/>
      </c>
      <c r="K346" s="77"/>
      <c r="O346" s="5" t="str">
        <f t="shared" si="38"/>
        <v/>
      </c>
      <c r="Y346" s="5" t="str">
        <f t="shared" si="39"/>
        <v/>
      </c>
      <c r="AA346" s="5" t="str">
        <f t="shared" si="36"/>
        <v/>
      </c>
      <c r="AG346" s="5" t="str">
        <f t="shared" si="40"/>
        <v/>
      </c>
    </row>
    <row r="347" spans="3:33" x14ac:dyDescent="0.2">
      <c r="C347" s="28"/>
      <c r="G347" s="5" t="str">
        <f t="shared" si="37"/>
        <v/>
      </c>
      <c r="I347" s="5" t="str">
        <f t="shared" si="35"/>
        <v/>
      </c>
      <c r="K347" s="77"/>
      <c r="O347" s="5" t="str">
        <f t="shared" si="38"/>
        <v/>
      </c>
      <c r="Y347" s="5" t="str">
        <f t="shared" si="39"/>
        <v/>
      </c>
      <c r="AA347" s="5" t="str">
        <f t="shared" si="36"/>
        <v/>
      </c>
      <c r="AG347" s="5" t="str">
        <f t="shared" si="40"/>
        <v/>
      </c>
    </row>
    <row r="348" spans="3:33" x14ac:dyDescent="0.2">
      <c r="C348" s="28"/>
      <c r="G348" s="5" t="str">
        <f t="shared" si="37"/>
        <v/>
      </c>
      <c r="I348" s="5" t="str">
        <f t="shared" si="35"/>
        <v/>
      </c>
      <c r="K348" s="77"/>
      <c r="O348" s="5" t="str">
        <f t="shared" si="38"/>
        <v/>
      </c>
      <c r="Y348" s="5" t="str">
        <f t="shared" si="39"/>
        <v/>
      </c>
      <c r="AA348" s="5" t="str">
        <f t="shared" si="36"/>
        <v/>
      </c>
      <c r="AG348" s="5" t="str">
        <f t="shared" si="40"/>
        <v/>
      </c>
    </row>
    <row r="349" spans="3:33" x14ac:dyDescent="0.2">
      <c r="C349" s="28"/>
      <c r="G349" s="5" t="str">
        <f t="shared" si="37"/>
        <v/>
      </c>
      <c r="I349" s="5" t="str">
        <f t="shared" si="35"/>
        <v/>
      </c>
      <c r="K349" s="77"/>
      <c r="O349" s="5" t="str">
        <f t="shared" si="38"/>
        <v/>
      </c>
      <c r="Y349" s="5" t="str">
        <f t="shared" si="39"/>
        <v/>
      </c>
      <c r="AA349" s="5" t="str">
        <f t="shared" si="36"/>
        <v/>
      </c>
      <c r="AG349" s="5" t="str">
        <f t="shared" si="40"/>
        <v/>
      </c>
    </row>
    <row r="350" spans="3:33" x14ac:dyDescent="0.2">
      <c r="C350" s="28"/>
      <c r="G350" s="5" t="str">
        <f t="shared" si="37"/>
        <v/>
      </c>
      <c r="I350" s="5" t="str">
        <f t="shared" si="35"/>
        <v/>
      </c>
      <c r="K350" s="77"/>
      <c r="O350" s="5" t="str">
        <f t="shared" si="38"/>
        <v/>
      </c>
      <c r="Y350" s="5" t="str">
        <f t="shared" si="39"/>
        <v/>
      </c>
      <c r="AA350" s="5" t="str">
        <f t="shared" si="36"/>
        <v/>
      </c>
      <c r="AG350" s="5" t="str">
        <f t="shared" si="40"/>
        <v/>
      </c>
    </row>
    <row r="351" spans="3:33" x14ac:dyDescent="0.2">
      <c r="C351" s="28"/>
      <c r="G351" s="5" t="str">
        <f t="shared" si="37"/>
        <v/>
      </c>
      <c r="I351" s="5" t="str">
        <f t="shared" si="35"/>
        <v/>
      </c>
      <c r="K351" s="77"/>
      <c r="O351" s="5" t="str">
        <f t="shared" si="38"/>
        <v/>
      </c>
      <c r="Y351" s="5" t="str">
        <f t="shared" si="39"/>
        <v/>
      </c>
      <c r="AA351" s="5" t="str">
        <f t="shared" si="36"/>
        <v/>
      </c>
      <c r="AG351" s="5" t="str">
        <f t="shared" si="40"/>
        <v/>
      </c>
    </row>
    <row r="352" spans="3:33" x14ac:dyDescent="0.2">
      <c r="C352" s="28"/>
      <c r="G352" s="5" t="str">
        <f t="shared" si="37"/>
        <v/>
      </c>
      <c r="I352" s="5" t="str">
        <f t="shared" si="35"/>
        <v/>
      </c>
      <c r="K352" s="77"/>
      <c r="O352" s="5" t="str">
        <f t="shared" si="38"/>
        <v/>
      </c>
      <c r="Y352" s="5" t="str">
        <f t="shared" si="39"/>
        <v/>
      </c>
      <c r="AA352" s="5" t="str">
        <f t="shared" si="36"/>
        <v/>
      </c>
      <c r="AG352" s="5" t="str">
        <f t="shared" si="40"/>
        <v/>
      </c>
    </row>
    <row r="353" spans="3:33" x14ac:dyDescent="0.2">
      <c r="C353" s="28"/>
      <c r="G353" s="5" t="str">
        <f t="shared" si="37"/>
        <v/>
      </c>
      <c r="I353" s="5" t="str">
        <f t="shared" si="35"/>
        <v/>
      </c>
      <c r="K353" s="77"/>
      <c r="O353" s="5" t="str">
        <f t="shared" si="38"/>
        <v/>
      </c>
      <c r="Y353" s="5" t="str">
        <f t="shared" si="39"/>
        <v/>
      </c>
      <c r="AA353" s="5" t="str">
        <f t="shared" si="36"/>
        <v/>
      </c>
      <c r="AG353" s="5" t="str">
        <f t="shared" si="40"/>
        <v/>
      </c>
    </row>
    <row r="354" spans="3:33" x14ac:dyDescent="0.2">
      <c r="C354" s="28"/>
      <c r="G354" s="5" t="str">
        <f t="shared" si="37"/>
        <v/>
      </c>
      <c r="I354" s="5" t="str">
        <f t="shared" si="35"/>
        <v/>
      </c>
      <c r="K354" s="77"/>
      <c r="O354" s="5" t="str">
        <f t="shared" si="38"/>
        <v/>
      </c>
      <c r="Y354" s="5" t="str">
        <f t="shared" si="39"/>
        <v/>
      </c>
      <c r="AA354" s="5" t="str">
        <f t="shared" si="36"/>
        <v/>
      </c>
      <c r="AG354" s="5" t="str">
        <f t="shared" si="40"/>
        <v/>
      </c>
    </row>
    <row r="355" spans="3:33" x14ac:dyDescent="0.2">
      <c r="C355" s="28"/>
      <c r="G355" s="5" t="str">
        <f t="shared" si="37"/>
        <v/>
      </c>
      <c r="I355" s="5" t="str">
        <f t="shared" si="35"/>
        <v/>
      </c>
      <c r="K355" s="77"/>
      <c r="O355" s="5" t="str">
        <f t="shared" si="38"/>
        <v/>
      </c>
      <c r="Y355" s="5" t="str">
        <f t="shared" si="39"/>
        <v/>
      </c>
      <c r="AA355" s="5" t="str">
        <f t="shared" si="36"/>
        <v/>
      </c>
      <c r="AG355" s="5" t="str">
        <f t="shared" si="40"/>
        <v/>
      </c>
    </row>
    <row r="356" spans="3:33" x14ac:dyDescent="0.2">
      <c r="C356" s="28"/>
      <c r="G356" s="5" t="str">
        <f t="shared" si="37"/>
        <v/>
      </c>
      <c r="I356" s="5" t="str">
        <f t="shared" si="35"/>
        <v/>
      </c>
      <c r="K356" s="77"/>
      <c r="O356" s="5" t="str">
        <f t="shared" si="38"/>
        <v/>
      </c>
      <c r="Y356" s="5" t="str">
        <f t="shared" si="39"/>
        <v/>
      </c>
      <c r="AA356" s="5" t="str">
        <f t="shared" si="36"/>
        <v/>
      </c>
      <c r="AG356" s="5" t="str">
        <f t="shared" si="40"/>
        <v/>
      </c>
    </row>
    <row r="357" spans="3:33" x14ac:dyDescent="0.2">
      <c r="C357" s="28"/>
      <c r="G357" s="5" t="str">
        <f t="shared" si="37"/>
        <v/>
      </c>
      <c r="I357" s="5" t="str">
        <f t="shared" si="35"/>
        <v/>
      </c>
      <c r="K357" s="77"/>
      <c r="O357" s="5" t="str">
        <f t="shared" si="38"/>
        <v/>
      </c>
      <c r="Y357" s="5" t="str">
        <f t="shared" si="39"/>
        <v/>
      </c>
      <c r="AA357" s="5" t="str">
        <f t="shared" si="36"/>
        <v/>
      </c>
      <c r="AG357" s="5" t="str">
        <f t="shared" si="40"/>
        <v/>
      </c>
    </row>
    <row r="358" spans="3:33" x14ac:dyDescent="0.2">
      <c r="C358" s="28"/>
      <c r="G358" s="5" t="str">
        <f t="shared" si="37"/>
        <v/>
      </c>
      <c r="I358" s="5" t="str">
        <f t="shared" si="35"/>
        <v/>
      </c>
      <c r="K358" s="77"/>
      <c r="O358" s="5" t="str">
        <f t="shared" si="38"/>
        <v/>
      </c>
      <c r="Y358" s="5" t="str">
        <f t="shared" si="39"/>
        <v/>
      </c>
      <c r="AA358" s="5" t="str">
        <f t="shared" si="36"/>
        <v/>
      </c>
      <c r="AG358" s="5" t="str">
        <f t="shared" si="40"/>
        <v/>
      </c>
    </row>
    <row r="359" spans="3:33" x14ac:dyDescent="0.2">
      <c r="C359" s="28"/>
      <c r="G359" s="5" t="str">
        <f t="shared" si="37"/>
        <v/>
      </c>
      <c r="I359" s="5" t="str">
        <f t="shared" si="35"/>
        <v/>
      </c>
      <c r="K359" s="77"/>
      <c r="O359" s="5" t="str">
        <f t="shared" si="38"/>
        <v/>
      </c>
      <c r="Y359" s="5" t="str">
        <f t="shared" si="39"/>
        <v/>
      </c>
      <c r="AA359" s="5" t="str">
        <f t="shared" si="36"/>
        <v/>
      </c>
      <c r="AG359" s="5" t="str">
        <f t="shared" si="40"/>
        <v/>
      </c>
    </row>
    <row r="360" spans="3:33" x14ac:dyDescent="0.2">
      <c r="C360" s="28"/>
      <c r="G360" s="5" t="str">
        <f t="shared" si="37"/>
        <v/>
      </c>
      <c r="I360" s="5" t="str">
        <f t="shared" si="35"/>
        <v/>
      </c>
      <c r="K360" s="77"/>
      <c r="O360" s="5" t="str">
        <f t="shared" si="38"/>
        <v/>
      </c>
      <c r="Y360" s="5" t="str">
        <f t="shared" si="39"/>
        <v/>
      </c>
      <c r="AA360" s="5" t="str">
        <f t="shared" si="36"/>
        <v/>
      </c>
      <c r="AG360" s="5" t="str">
        <f t="shared" si="40"/>
        <v/>
      </c>
    </row>
    <row r="361" spans="3:33" x14ac:dyDescent="0.2">
      <c r="G361" s="5" t="str">
        <f t="shared" si="37"/>
        <v/>
      </c>
      <c r="I361" s="5" t="str">
        <f t="shared" si="35"/>
        <v/>
      </c>
      <c r="K361" s="77"/>
      <c r="O361" s="5" t="str">
        <f t="shared" si="38"/>
        <v/>
      </c>
      <c r="Y361" s="5" t="str">
        <f t="shared" si="39"/>
        <v/>
      </c>
      <c r="AA361" s="5" t="str">
        <f t="shared" si="36"/>
        <v/>
      </c>
      <c r="AG361" s="5" t="str">
        <f t="shared" si="40"/>
        <v/>
      </c>
    </row>
    <row r="362" spans="3:33" x14ac:dyDescent="0.2">
      <c r="G362" s="5" t="str">
        <f t="shared" si="37"/>
        <v/>
      </c>
      <c r="I362" s="5" t="str">
        <f t="shared" si="35"/>
        <v/>
      </c>
      <c r="K362" s="77"/>
      <c r="O362" s="5" t="str">
        <f t="shared" si="38"/>
        <v/>
      </c>
      <c r="Y362" s="5" t="str">
        <f t="shared" si="39"/>
        <v/>
      </c>
      <c r="AA362" s="5" t="str">
        <f t="shared" si="36"/>
        <v/>
      </c>
      <c r="AG362" s="5" t="str">
        <f t="shared" si="40"/>
        <v/>
      </c>
    </row>
    <row r="363" spans="3:33" x14ac:dyDescent="0.2">
      <c r="G363" s="5" t="str">
        <f t="shared" si="37"/>
        <v/>
      </c>
      <c r="I363" s="5" t="str">
        <f t="shared" si="35"/>
        <v/>
      </c>
      <c r="K363" s="77"/>
      <c r="O363" s="5" t="str">
        <f t="shared" si="38"/>
        <v/>
      </c>
      <c r="Y363" s="5" t="str">
        <f t="shared" si="39"/>
        <v/>
      </c>
      <c r="AA363" s="5" t="str">
        <f t="shared" si="36"/>
        <v/>
      </c>
      <c r="AG363" s="5" t="str">
        <f t="shared" si="40"/>
        <v/>
      </c>
    </row>
    <row r="364" spans="3:33" x14ac:dyDescent="0.2">
      <c r="G364" s="5" t="str">
        <f t="shared" si="37"/>
        <v/>
      </c>
      <c r="I364" s="5" t="str">
        <f t="shared" si="35"/>
        <v/>
      </c>
      <c r="K364" s="77"/>
      <c r="O364" s="5" t="str">
        <f t="shared" si="38"/>
        <v/>
      </c>
      <c r="Y364" s="5" t="str">
        <f t="shared" si="39"/>
        <v/>
      </c>
      <c r="AA364" s="5" t="str">
        <f t="shared" si="36"/>
        <v/>
      </c>
      <c r="AG364" s="5" t="str">
        <f t="shared" si="40"/>
        <v/>
      </c>
    </row>
    <row r="365" spans="3:33" x14ac:dyDescent="0.2">
      <c r="G365" s="5" t="str">
        <f t="shared" si="37"/>
        <v/>
      </c>
      <c r="I365" s="5" t="str">
        <f t="shared" si="35"/>
        <v/>
      </c>
      <c r="K365" s="77"/>
      <c r="O365" s="5" t="str">
        <f t="shared" si="38"/>
        <v/>
      </c>
      <c r="Y365" s="5" t="str">
        <f t="shared" si="39"/>
        <v/>
      </c>
      <c r="AA365" s="5" t="str">
        <f t="shared" si="36"/>
        <v/>
      </c>
      <c r="AG365" s="5" t="str">
        <f t="shared" si="40"/>
        <v/>
      </c>
    </row>
    <row r="366" spans="3:33" x14ac:dyDescent="0.2">
      <c r="G366" s="5" t="str">
        <f t="shared" si="37"/>
        <v/>
      </c>
      <c r="I366" s="5" t="str">
        <f t="shared" si="35"/>
        <v/>
      </c>
      <c r="K366" s="77"/>
      <c r="O366" s="5" t="str">
        <f t="shared" si="38"/>
        <v/>
      </c>
      <c r="Y366" s="5" t="str">
        <f t="shared" si="39"/>
        <v/>
      </c>
      <c r="AA366" s="5" t="str">
        <f t="shared" si="36"/>
        <v/>
      </c>
      <c r="AG366" s="5" t="str">
        <f t="shared" si="40"/>
        <v/>
      </c>
    </row>
    <row r="367" spans="3:33" x14ac:dyDescent="0.2">
      <c r="G367" s="5" t="str">
        <f t="shared" si="37"/>
        <v/>
      </c>
      <c r="I367" s="5" t="str">
        <f t="shared" si="35"/>
        <v/>
      </c>
      <c r="K367" s="77"/>
      <c r="O367" s="5" t="str">
        <f t="shared" si="38"/>
        <v/>
      </c>
      <c r="Y367" s="5" t="str">
        <f t="shared" si="39"/>
        <v/>
      </c>
      <c r="AA367" s="5" t="str">
        <f t="shared" si="36"/>
        <v/>
      </c>
      <c r="AG367" s="5" t="str">
        <f t="shared" si="40"/>
        <v/>
      </c>
    </row>
    <row r="368" spans="3:33" x14ac:dyDescent="0.2">
      <c r="G368" s="5" t="str">
        <f t="shared" si="37"/>
        <v/>
      </c>
      <c r="I368" s="5" t="str">
        <f t="shared" si="35"/>
        <v/>
      </c>
      <c r="K368" s="77"/>
      <c r="O368" s="5" t="str">
        <f t="shared" si="38"/>
        <v/>
      </c>
      <c r="Y368" s="5" t="str">
        <f t="shared" si="39"/>
        <v/>
      </c>
      <c r="AA368" s="5" t="str">
        <f t="shared" si="36"/>
        <v/>
      </c>
      <c r="AG368" s="5" t="str">
        <f t="shared" si="40"/>
        <v/>
      </c>
    </row>
    <row r="369" spans="7:33" x14ac:dyDescent="0.2">
      <c r="G369" s="5" t="str">
        <f t="shared" si="37"/>
        <v/>
      </c>
      <c r="I369" s="5" t="str">
        <f t="shared" si="35"/>
        <v/>
      </c>
      <c r="K369" s="77"/>
      <c r="O369" s="5" t="str">
        <f t="shared" si="38"/>
        <v/>
      </c>
      <c r="Y369" s="5" t="str">
        <f t="shared" si="39"/>
        <v/>
      </c>
      <c r="AA369" s="5" t="str">
        <f t="shared" si="36"/>
        <v/>
      </c>
      <c r="AG369" s="5" t="str">
        <f t="shared" si="40"/>
        <v/>
      </c>
    </row>
    <row r="370" spans="7:33" x14ac:dyDescent="0.2">
      <c r="G370" s="5" t="str">
        <f t="shared" si="37"/>
        <v/>
      </c>
      <c r="I370" s="5" t="str">
        <f t="shared" si="35"/>
        <v/>
      </c>
      <c r="K370" s="77"/>
      <c r="O370" s="5" t="str">
        <f t="shared" si="38"/>
        <v/>
      </c>
      <c r="Y370" s="5" t="str">
        <f t="shared" si="39"/>
        <v/>
      </c>
      <c r="AA370" s="5" t="str">
        <f t="shared" si="36"/>
        <v/>
      </c>
      <c r="AG370" s="5" t="str">
        <f t="shared" si="40"/>
        <v/>
      </c>
    </row>
    <row r="371" spans="7:33" x14ac:dyDescent="0.2">
      <c r="G371" s="5" t="str">
        <f t="shared" si="37"/>
        <v/>
      </c>
      <c r="I371" s="5" t="str">
        <f t="shared" si="35"/>
        <v/>
      </c>
      <c r="K371" s="77"/>
      <c r="O371" s="5" t="str">
        <f t="shared" si="38"/>
        <v/>
      </c>
      <c r="Y371" s="5" t="str">
        <f t="shared" si="39"/>
        <v/>
      </c>
      <c r="AA371" s="5" t="str">
        <f t="shared" si="36"/>
        <v/>
      </c>
      <c r="AG371" s="5" t="str">
        <f t="shared" si="40"/>
        <v/>
      </c>
    </row>
    <row r="372" spans="7:33" x14ac:dyDescent="0.2">
      <c r="G372" s="5" t="str">
        <f t="shared" si="37"/>
        <v/>
      </c>
      <c r="I372" s="5" t="str">
        <f t="shared" si="35"/>
        <v/>
      </c>
      <c r="K372" s="77"/>
      <c r="O372" s="5" t="str">
        <f t="shared" si="38"/>
        <v/>
      </c>
      <c r="Y372" s="5" t="str">
        <f t="shared" si="39"/>
        <v/>
      </c>
      <c r="AA372" s="5" t="str">
        <f t="shared" si="36"/>
        <v/>
      </c>
      <c r="AG372" s="5" t="str">
        <f t="shared" si="40"/>
        <v/>
      </c>
    </row>
    <row r="373" spans="7:33" x14ac:dyDescent="0.2">
      <c r="G373" s="5" t="str">
        <f t="shared" si="37"/>
        <v/>
      </c>
      <c r="I373" s="5" t="str">
        <f t="shared" si="35"/>
        <v/>
      </c>
      <c r="K373" s="77"/>
      <c r="O373" s="5" t="str">
        <f t="shared" si="38"/>
        <v/>
      </c>
      <c r="Y373" s="5" t="str">
        <f t="shared" si="39"/>
        <v/>
      </c>
      <c r="AA373" s="5" t="str">
        <f t="shared" si="36"/>
        <v/>
      </c>
      <c r="AG373" s="5" t="str">
        <f t="shared" si="40"/>
        <v/>
      </c>
    </row>
    <row r="374" spans="7:33" x14ac:dyDescent="0.2">
      <c r="G374" s="5" t="str">
        <f t="shared" si="37"/>
        <v/>
      </c>
      <c r="I374" s="5" t="str">
        <f t="shared" si="35"/>
        <v/>
      </c>
      <c r="K374" s="77"/>
      <c r="O374" s="5" t="str">
        <f t="shared" si="38"/>
        <v/>
      </c>
      <c r="Y374" s="5" t="str">
        <f t="shared" si="39"/>
        <v/>
      </c>
      <c r="AA374" s="5" t="str">
        <f t="shared" si="36"/>
        <v/>
      </c>
      <c r="AG374" s="5" t="str">
        <f t="shared" si="40"/>
        <v/>
      </c>
    </row>
    <row r="375" spans="7:33" x14ac:dyDescent="0.2">
      <c r="G375" s="5" t="str">
        <f t="shared" si="37"/>
        <v/>
      </c>
      <c r="I375" s="5" t="str">
        <f t="shared" si="35"/>
        <v/>
      </c>
      <c r="K375" s="77"/>
      <c r="O375" s="5" t="str">
        <f t="shared" si="38"/>
        <v/>
      </c>
      <c r="Y375" s="5" t="str">
        <f t="shared" si="39"/>
        <v/>
      </c>
      <c r="AA375" s="5" t="str">
        <f t="shared" si="36"/>
        <v/>
      </c>
      <c r="AG375" s="5" t="str">
        <f t="shared" si="40"/>
        <v/>
      </c>
    </row>
    <row r="376" spans="7:33" x14ac:dyDescent="0.2">
      <c r="G376" s="5" t="str">
        <f t="shared" si="37"/>
        <v/>
      </c>
      <c r="I376" s="5" t="str">
        <f t="shared" si="35"/>
        <v/>
      </c>
      <c r="K376" s="77"/>
      <c r="O376" s="5" t="str">
        <f t="shared" si="38"/>
        <v/>
      </c>
      <c r="Y376" s="5" t="str">
        <f t="shared" si="39"/>
        <v/>
      </c>
      <c r="AA376" s="5" t="str">
        <f t="shared" si="36"/>
        <v/>
      </c>
      <c r="AG376" s="5" t="str">
        <f t="shared" si="40"/>
        <v/>
      </c>
    </row>
    <row r="377" spans="7:33" x14ac:dyDescent="0.2">
      <c r="G377" s="5" t="str">
        <f t="shared" si="37"/>
        <v/>
      </c>
      <c r="I377" s="5" t="str">
        <f t="shared" si="35"/>
        <v/>
      </c>
      <c r="K377" s="77"/>
      <c r="O377" s="5" t="str">
        <f t="shared" si="38"/>
        <v/>
      </c>
      <c r="Y377" s="5" t="str">
        <f t="shared" si="39"/>
        <v/>
      </c>
      <c r="AA377" s="5" t="str">
        <f t="shared" si="36"/>
        <v/>
      </c>
      <c r="AG377" s="5" t="str">
        <f t="shared" si="40"/>
        <v/>
      </c>
    </row>
    <row r="378" spans="7:33" x14ac:dyDescent="0.2">
      <c r="G378" s="5" t="str">
        <f t="shared" si="37"/>
        <v/>
      </c>
      <c r="I378" s="5" t="str">
        <f t="shared" si="35"/>
        <v/>
      </c>
      <c r="K378" s="77"/>
      <c r="O378" s="5" t="str">
        <f t="shared" si="38"/>
        <v/>
      </c>
      <c r="Y378" s="5" t="str">
        <f t="shared" si="39"/>
        <v/>
      </c>
      <c r="AA378" s="5" t="str">
        <f t="shared" si="36"/>
        <v/>
      </c>
      <c r="AG378" s="5" t="str">
        <f t="shared" si="40"/>
        <v/>
      </c>
    </row>
    <row r="379" spans="7:33" x14ac:dyDescent="0.2">
      <c r="G379" s="5" t="str">
        <f t="shared" si="37"/>
        <v/>
      </c>
      <c r="I379" s="5" t="str">
        <f t="shared" si="35"/>
        <v/>
      </c>
      <c r="K379" s="77"/>
      <c r="O379" s="5" t="str">
        <f t="shared" si="38"/>
        <v/>
      </c>
      <c r="Y379" s="5" t="str">
        <f t="shared" si="39"/>
        <v/>
      </c>
      <c r="AA379" s="5" t="str">
        <f t="shared" si="36"/>
        <v/>
      </c>
      <c r="AG379" s="5" t="str">
        <f t="shared" si="40"/>
        <v/>
      </c>
    </row>
    <row r="380" spans="7:33" x14ac:dyDescent="0.2">
      <c r="G380" s="5" t="str">
        <f t="shared" si="37"/>
        <v/>
      </c>
      <c r="I380" s="5" t="str">
        <f t="shared" si="35"/>
        <v/>
      </c>
      <c r="K380" s="77"/>
      <c r="O380" s="5" t="str">
        <f t="shared" si="38"/>
        <v/>
      </c>
      <c r="Y380" s="5" t="str">
        <f t="shared" si="39"/>
        <v/>
      </c>
      <c r="AA380" s="5" t="str">
        <f t="shared" si="36"/>
        <v/>
      </c>
      <c r="AG380" s="5" t="str">
        <f t="shared" si="40"/>
        <v/>
      </c>
    </row>
    <row r="381" spans="7:33" x14ac:dyDescent="0.2">
      <c r="G381" s="5" t="str">
        <f t="shared" si="37"/>
        <v/>
      </c>
      <c r="I381" s="5" t="str">
        <f t="shared" si="35"/>
        <v/>
      </c>
      <c r="K381" s="77"/>
      <c r="O381" s="5" t="str">
        <f t="shared" si="38"/>
        <v/>
      </c>
      <c r="Y381" s="5" t="str">
        <f t="shared" si="39"/>
        <v/>
      </c>
      <c r="AA381" s="5" t="str">
        <f t="shared" si="36"/>
        <v/>
      </c>
      <c r="AG381" s="5" t="str">
        <f t="shared" si="40"/>
        <v/>
      </c>
    </row>
    <row r="382" spans="7:33" x14ac:dyDescent="0.2">
      <c r="G382" s="5" t="str">
        <f t="shared" si="37"/>
        <v/>
      </c>
      <c r="I382" s="5" t="str">
        <f t="shared" si="35"/>
        <v/>
      </c>
      <c r="K382" s="77"/>
      <c r="O382" s="5" t="str">
        <f t="shared" si="38"/>
        <v/>
      </c>
      <c r="Y382" s="5" t="str">
        <f t="shared" si="39"/>
        <v/>
      </c>
      <c r="AA382" s="5" t="str">
        <f t="shared" si="36"/>
        <v/>
      </c>
      <c r="AG382" s="5" t="str">
        <f t="shared" si="40"/>
        <v/>
      </c>
    </row>
    <row r="383" spans="7:33" x14ac:dyDescent="0.2">
      <c r="G383" s="5" t="str">
        <f t="shared" si="37"/>
        <v/>
      </c>
      <c r="I383" s="5" t="str">
        <f t="shared" si="35"/>
        <v/>
      </c>
      <c r="K383" s="77"/>
      <c r="O383" s="5" t="str">
        <f t="shared" si="38"/>
        <v/>
      </c>
      <c r="Y383" s="5" t="str">
        <f t="shared" si="39"/>
        <v/>
      </c>
      <c r="AA383" s="5" t="str">
        <f t="shared" si="36"/>
        <v/>
      </c>
      <c r="AG383" s="5" t="str">
        <f t="shared" si="40"/>
        <v/>
      </c>
    </row>
    <row r="384" spans="7:33" x14ac:dyDescent="0.2">
      <c r="G384" s="5" t="str">
        <f t="shared" si="37"/>
        <v/>
      </c>
      <c r="I384" s="5" t="str">
        <f t="shared" si="35"/>
        <v/>
      </c>
      <c r="K384" s="77"/>
      <c r="O384" s="5" t="str">
        <f t="shared" si="38"/>
        <v/>
      </c>
      <c r="Y384" s="5" t="str">
        <f t="shared" si="39"/>
        <v/>
      </c>
      <c r="AA384" s="5" t="str">
        <f t="shared" si="36"/>
        <v/>
      </c>
      <c r="AG384" s="5" t="str">
        <f t="shared" si="40"/>
        <v/>
      </c>
    </row>
    <row r="385" spans="7:33" x14ac:dyDescent="0.2">
      <c r="G385" s="5" t="str">
        <f t="shared" si="37"/>
        <v/>
      </c>
      <c r="I385" s="5" t="str">
        <f t="shared" si="35"/>
        <v/>
      </c>
      <c r="K385" s="77"/>
      <c r="O385" s="5" t="str">
        <f t="shared" si="38"/>
        <v/>
      </c>
      <c r="Y385" s="5" t="str">
        <f t="shared" si="39"/>
        <v/>
      </c>
      <c r="AA385" s="5" t="str">
        <f t="shared" si="36"/>
        <v/>
      </c>
      <c r="AG385" s="5" t="str">
        <f t="shared" si="40"/>
        <v/>
      </c>
    </row>
    <row r="386" spans="7:33" x14ac:dyDescent="0.2">
      <c r="G386" s="5" t="str">
        <f t="shared" si="37"/>
        <v/>
      </c>
      <c r="I386" s="5" t="str">
        <f t="shared" si="35"/>
        <v/>
      </c>
      <c r="K386" s="77"/>
      <c r="O386" s="5" t="str">
        <f t="shared" si="38"/>
        <v/>
      </c>
      <c r="Y386" s="5" t="str">
        <f t="shared" si="39"/>
        <v/>
      </c>
      <c r="AA386" s="5" t="str">
        <f t="shared" si="36"/>
        <v/>
      </c>
      <c r="AG386" s="5" t="str">
        <f t="shared" si="40"/>
        <v/>
      </c>
    </row>
    <row r="387" spans="7:33" x14ac:dyDescent="0.2">
      <c r="G387" s="5" t="str">
        <f t="shared" si="37"/>
        <v/>
      </c>
      <c r="I387" s="5" t="str">
        <f t="shared" si="35"/>
        <v/>
      </c>
      <c r="K387" s="77"/>
      <c r="O387" s="5" t="str">
        <f t="shared" si="38"/>
        <v/>
      </c>
      <c r="Y387" s="5" t="str">
        <f t="shared" si="39"/>
        <v/>
      </c>
      <c r="AA387" s="5" t="str">
        <f t="shared" si="36"/>
        <v/>
      </c>
      <c r="AG387" s="5" t="str">
        <f t="shared" si="40"/>
        <v/>
      </c>
    </row>
    <row r="388" spans="7:33" x14ac:dyDescent="0.2">
      <c r="G388" s="5" t="str">
        <f t="shared" si="37"/>
        <v/>
      </c>
      <c r="I388" s="5" t="str">
        <f t="shared" si="35"/>
        <v/>
      </c>
      <c r="K388" s="77"/>
      <c r="O388" s="5" t="str">
        <f t="shared" si="38"/>
        <v/>
      </c>
      <c r="Y388" s="5" t="str">
        <f t="shared" si="39"/>
        <v/>
      </c>
      <c r="AA388" s="5" t="str">
        <f t="shared" si="36"/>
        <v/>
      </c>
      <c r="AG388" s="5" t="str">
        <f t="shared" si="40"/>
        <v/>
      </c>
    </row>
    <row r="389" spans="7:33" x14ac:dyDescent="0.2">
      <c r="G389" s="5" t="str">
        <f t="shared" si="37"/>
        <v/>
      </c>
      <c r="I389" s="5" t="str">
        <f t="shared" si="35"/>
        <v/>
      </c>
      <c r="K389" s="77"/>
      <c r="O389" s="5" t="str">
        <f t="shared" si="38"/>
        <v/>
      </c>
      <c r="Y389" s="5" t="str">
        <f t="shared" si="39"/>
        <v/>
      </c>
      <c r="AA389" s="5" t="str">
        <f t="shared" si="36"/>
        <v/>
      </c>
      <c r="AG389" s="5" t="str">
        <f t="shared" si="40"/>
        <v/>
      </c>
    </row>
    <row r="390" spans="7:33" x14ac:dyDescent="0.2">
      <c r="G390" s="5" t="str">
        <f t="shared" si="37"/>
        <v/>
      </c>
      <c r="I390" s="5" t="str">
        <f t="shared" si="35"/>
        <v/>
      </c>
      <c r="K390" s="77"/>
      <c r="O390" s="5" t="str">
        <f t="shared" si="38"/>
        <v/>
      </c>
      <c r="Y390" s="5" t="str">
        <f t="shared" si="39"/>
        <v/>
      </c>
      <c r="AA390" s="5" t="str">
        <f t="shared" si="36"/>
        <v/>
      </c>
      <c r="AG390" s="5" t="str">
        <f t="shared" si="40"/>
        <v/>
      </c>
    </row>
    <row r="391" spans="7:33" x14ac:dyDescent="0.2">
      <c r="G391" s="5" t="str">
        <f t="shared" si="37"/>
        <v/>
      </c>
      <c r="I391" s="5" t="str">
        <f t="shared" si="35"/>
        <v/>
      </c>
      <c r="K391" s="77"/>
      <c r="O391" s="5" t="str">
        <f t="shared" si="38"/>
        <v/>
      </c>
      <c r="Y391" s="5" t="str">
        <f t="shared" si="39"/>
        <v/>
      </c>
      <c r="AA391" s="5" t="str">
        <f t="shared" si="36"/>
        <v/>
      </c>
      <c r="AG391" s="5" t="str">
        <f t="shared" si="40"/>
        <v/>
      </c>
    </row>
    <row r="392" spans="7:33" x14ac:dyDescent="0.2">
      <c r="G392" s="5" t="str">
        <f t="shared" si="37"/>
        <v/>
      </c>
      <c r="I392" s="5" t="str">
        <f t="shared" si="35"/>
        <v/>
      </c>
      <c r="K392" s="77"/>
      <c r="O392" s="5" t="str">
        <f t="shared" si="38"/>
        <v/>
      </c>
      <c r="Y392" s="5" t="str">
        <f t="shared" si="39"/>
        <v/>
      </c>
      <c r="AA392" s="5" t="str">
        <f t="shared" si="36"/>
        <v/>
      </c>
      <c r="AG392" s="5" t="str">
        <f t="shared" si="40"/>
        <v/>
      </c>
    </row>
    <row r="393" spans="7:33" x14ac:dyDescent="0.2">
      <c r="G393" s="5" t="str">
        <f t="shared" si="37"/>
        <v/>
      </c>
      <c r="I393" s="5" t="str">
        <f t="shared" si="35"/>
        <v/>
      </c>
      <c r="K393" s="77"/>
      <c r="O393" s="5" t="str">
        <f t="shared" si="38"/>
        <v/>
      </c>
      <c r="Y393" s="5" t="str">
        <f t="shared" si="39"/>
        <v/>
      </c>
      <c r="AA393" s="5" t="str">
        <f t="shared" si="36"/>
        <v/>
      </c>
      <c r="AG393" s="5" t="str">
        <f t="shared" si="40"/>
        <v/>
      </c>
    </row>
    <row r="394" spans="7:33" x14ac:dyDescent="0.2">
      <c r="G394" s="5" t="str">
        <f t="shared" si="37"/>
        <v/>
      </c>
      <c r="I394" s="5" t="str">
        <f t="shared" si="35"/>
        <v/>
      </c>
      <c r="K394" s="77"/>
      <c r="O394" s="5" t="str">
        <f t="shared" si="38"/>
        <v/>
      </c>
      <c r="Y394" s="5" t="str">
        <f t="shared" si="39"/>
        <v/>
      </c>
      <c r="AA394" s="5" t="str">
        <f t="shared" si="36"/>
        <v/>
      </c>
      <c r="AG394" s="5" t="str">
        <f t="shared" si="40"/>
        <v/>
      </c>
    </row>
    <row r="395" spans="7:33" x14ac:dyDescent="0.2">
      <c r="G395" s="5" t="str">
        <f t="shared" si="37"/>
        <v/>
      </c>
      <c r="I395" s="5" t="str">
        <f t="shared" si="35"/>
        <v/>
      </c>
      <c r="K395" s="77"/>
      <c r="O395" s="5" t="str">
        <f t="shared" si="38"/>
        <v/>
      </c>
      <c r="Y395" s="5" t="str">
        <f t="shared" si="39"/>
        <v/>
      </c>
      <c r="AA395" s="5" t="str">
        <f t="shared" si="36"/>
        <v/>
      </c>
      <c r="AG395" s="5" t="str">
        <f t="shared" si="40"/>
        <v/>
      </c>
    </row>
    <row r="396" spans="7:33" x14ac:dyDescent="0.2">
      <c r="G396" s="5" t="str">
        <f t="shared" si="37"/>
        <v/>
      </c>
      <c r="I396" s="5" t="str">
        <f t="shared" si="35"/>
        <v/>
      </c>
      <c r="K396" s="77"/>
      <c r="O396" s="5" t="str">
        <f t="shared" si="38"/>
        <v/>
      </c>
      <c r="Y396" s="5" t="str">
        <f t="shared" si="39"/>
        <v/>
      </c>
      <c r="AA396" s="5" t="str">
        <f t="shared" si="36"/>
        <v/>
      </c>
      <c r="AG396" s="5" t="str">
        <f t="shared" si="40"/>
        <v/>
      </c>
    </row>
    <row r="397" spans="7:33" x14ac:dyDescent="0.2">
      <c r="G397" s="5" t="str">
        <f t="shared" si="37"/>
        <v/>
      </c>
      <c r="I397" s="5" t="str">
        <f t="shared" si="35"/>
        <v/>
      </c>
      <c r="K397" s="77"/>
      <c r="O397" s="5" t="str">
        <f t="shared" si="38"/>
        <v/>
      </c>
      <c r="Y397" s="5" t="str">
        <f t="shared" si="39"/>
        <v/>
      </c>
      <c r="AA397" s="5" t="str">
        <f t="shared" si="36"/>
        <v/>
      </c>
      <c r="AG397" s="5" t="str">
        <f t="shared" si="40"/>
        <v/>
      </c>
    </row>
    <row r="398" spans="7:33" x14ac:dyDescent="0.2">
      <c r="G398" s="5" t="str">
        <f t="shared" si="37"/>
        <v/>
      </c>
      <c r="I398" s="5" t="str">
        <f t="shared" si="35"/>
        <v/>
      </c>
      <c r="K398" s="77"/>
      <c r="O398" s="5" t="str">
        <f t="shared" si="38"/>
        <v/>
      </c>
      <c r="Y398" s="5" t="str">
        <f t="shared" si="39"/>
        <v/>
      </c>
      <c r="AA398" s="5" t="str">
        <f t="shared" si="36"/>
        <v/>
      </c>
      <c r="AG398" s="5" t="str">
        <f t="shared" si="40"/>
        <v/>
      </c>
    </row>
    <row r="399" spans="7:33" x14ac:dyDescent="0.2">
      <c r="G399" s="5" t="str">
        <f t="shared" si="37"/>
        <v/>
      </c>
      <c r="I399" s="5" t="str">
        <f t="shared" si="35"/>
        <v/>
      </c>
      <c r="K399" s="77"/>
      <c r="O399" s="5" t="str">
        <f t="shared" si="38"/>
        <v/>
      </c>
      <c r="Y399" s="5" t="str">
        <f t="shared" si="39"/>
        <v/>
      </c>
      <c r="AA399" s="5" t="str">
        <f t="shared" si="36"/>
        <v/>
      </c>
      <c r="AG399" s="5" t="str">
        <f t="shared" si="40"/>
        <v/>
      </c>
    </row>
    <row r="400" spans="7:33" x14ac:dyDescent="0.2">
      <c r="G400" s="5" t="str">
        <f t="shared" si="37"/>
        <v/>
      </c>
      <c r="I400" s="5" t="str">
        <f t="shared" si="35"/>
        <v/>
      </c>
      <c r="K400" s="77"/>
      <c r="O400" s="5" t="str">
        <f t="shared" si="38"/>
        <v/>
      </c>
      <c r="Y400" s="5" t="str">
        <f t="shared" si="39"/>
        <v/>
      </c>
      <c r="AA400" s="5" t="str">
        <f t="shared" si="36"/>
        <v/>
      </c>
      <c r="AG400" s="5" t="str">
        <f t="shared" si="40"/>
        <v/>
      </c>
    </row>
    <row r="401" spans="7:33" x14ac:dyDescent="0.2">
      <c r="G401" s="5" t="str">
        <f t="shared" si="37"/>
        <v/>
      </c>
      <c r="I401" s="5" t="str">
        <f t="shared" si="35"/>
        <v/>
      </c>
      <c r="K401" s="77"/>
      <c r="O401" s="5" t="str">
        <f t="shared" si="38"/>
        <v/>
      </c>
      <c r="Y401" s="5" t="str">
        <f t="shared" si="39"/>
        <v/>
      </c>
      <c r="AA401" s="5" t="str">
        <f t="shared" si="36"/>
        <v/>
      </c>
      <c r="AG401" s="5" t="str">
        <f t="shared" si="40"/>
        <v/>
      </c>
    </row>
    <row r="402" spans="7:33" x14ac:dyDescent="0.2">
      <c r="G402" s="5" t="str">
        <f t="shared" si="37"/>
        <v/>
      </c>
      <c r="I402" s="5" t="str">
        <f t="shared" ref="I402:I465" si="41">IF(L402="","",IFERROR(ABS(VLOOKUP(L402,$L$17:$O$271,4,FALSE)-VLOOKUP(L402,$D$17:$G$271,4,FALSE)),""))</f>
        <v/>
      </c>
      <c r="K402" s="77"/>
      <c r="O402" s="5" t="str">
        <f t="shared" si="38"/>
        <v/>
      </c>
      <c r="Y402" s="5" t="str">
        <f t="shared" si="39"/>
        <v/>
      </c>
      <c r="AA402" s="5" t="str">
        <f t="shared" ref="AA402:AA465" si="42">IF(AD402="","",IFERROR(ABS(VLOOKUP(AD402,$L$17:$O$271,4,FALSE)-VLOOKUP(AD402,$D$17:$G$271,4,FALSE)),""))</f>
        <v/>
      </c>
      <c r="AG402" s="5" t="str">
        <f t="shared" si="40"/>
        <v/>
      </c>
    </row>
    <row r="403" spans="7:33" x14ac:dyDescent="0.2">
      <c r="G403" s="5" t="str">
        <f t="shared" si="37"/>
        <v/>
      </c>
      <c r="I403" s="5" t="str">
        <f t="shared" si="41"/>
        <v/>
      </c>
      <c r="K403" s="77"/>
      <c r="O403" s="5" t="str">
        <f t="shared" si="38"/>
        <v/>
      </c>
      <c r="Y403" s="5" t="str">
        <f t="shared" si="39"/>
        <v/>
      </c>
      <c r="AA403" s="5" t="str">
        <f t="shared" si="42"/>
        <v/>
      </c>
      <c r="AG403" s="5" t="str">
        <f t="shared" si="40"/>
        <v/>
      </c>
    </row>
    <row r="404" spans="7:33" x14ac:dyDescent="0.2">
      <c r="G404" s="5" t="str">
        <f t="shared" ref="G404:G467" si="43">IF(C404="","",IF(OR(G403="KILL",G403=""),"",IF(COUNTIF(E402:E404, 0) = 2, "Kill",IF(E404&gt;0,(E404+F404)/2,"Omit"))))</f>
        <v/>
      </c>
      <c r="I404" s="5" t="str">
        <f t="shared" si="41"/>
        <v/>
      </c>
      <c r="K404" s="77"/>
      <c r="O404" s="5" t="str">
        <f t="shared" ref="O404:O467" si="44">IF(K404="","",IF(OR(O403="KILL",O403=""),"",IF(COUNTIF(M402:M404, 0) = 2, "Kill",IF(M404&gt;0,(M404+N404)/2,"Omit"))))</f>
        <v/>
      </c>
      <c r="Y404" s="5" t="str">
        <f t="shared" ref="Y404:Y467" si="45">IF(U404="","",IF(OR(Y403="KILL",Y403=""),"",IF(COUNTIF(W402:W404, 0) = 2, "Kill",IF(W404&gt;0,(W404+X404)/2,"Omit"))))</f>
        <v/>
      </c>
      <c r="AA404" s="5" t="str">
        <f t="shared" si="42"/>
        <v/>
      </c>
      <c r="AG404" s="5" t="str">
        <f t="shared" ref="AG404:AG467" si="46">IF(AC404="","",IF(OR(AG403="KILL",AG403=""),"",IF(COUNTIF(AE402:AE404, 0) = 2, "Kill",IF(AE404&gt;0,(AE404+AF404)/2,"Omit"))))</f>
        <v/>
      </c>
    </row>
    <row r="405" spans="7:33" x14ac:dyDescent="0.2">
      <c r="G405" s="5" t="str">
        <f t="shared" si="43"/>
        <v/>
      </c>
      <c r="I405" s="5" t="str">
        <f t="shared" si="41"/>
        <v/>
      </c>
      <c r="K405" s="77"/>
      <c r="O405" s="5" t="str">
        <f t="shared" si="44"/>
        <v/>
      </c>
      <c r="Y405" s="5" t="str">
        <f t="shared" si="45"/>
        <v/>
      </c>
      <c r="AA405" s="5" t="str">
        <f t="shared" si="42"/>
        <v/>
      </c>
      <c r="AG405" s="5" t="str">
        <f t="shared" si="46"/>
        <v/>
      </c>
    </row>
    <row r="406" spans="7:33" x14ac:dyDescent="0.2">
      <c r="G406" s="5" t="str">
        <f t="shared" si="43"/>
        <v/>
      </c>
      <c r="I406" s="5" t="str">
        <f t="shared" si="41"/>
        <v/>
      </c>
      <c r="K406" s="77"/>
      <c r="O406" s="5" t="str">
        <f t="shared" si="44"/>
        <v/>
      </c>
      <c r="Y406" s="5" t="str">
        <f t="shared" si="45"/>
        <v/>
      </c>
      <c r="AA406" s="5" t="str">
        <f t="shared" si="42"/>
        <v/>
      </c>
      <c r="AG406" s="5" t="str">
        <f t="shared" si="46"/>
        <v/>
      </c>
    </row>
    <row r="407" spans="7:33" x14ac:dyDescent="0.2">
      <c r="G407" s="5" t="str">
        <f t="shared" si="43"/>
        <v/>
      </c>
      <c r="I407" s="5" t="str">
        <f t="shared" si="41"/>
        <v/>
      </c>
      <c r="K407" s="77"/>
      <c r="O407" s="5" t="str">
        <f t="shared" si="44"/>
        <v/>
      </c>
      <c r="Y407" s="5" t="str">
        <f t="shared" si="45"/>
        <v/>
      </c>
      <c r="AA407" s="5" t="str">
        <f t="shared" si="42"/>
        <v/>
      </c>
      <c r="AG407" s="5" t="str">
        <f t="shared" si="46"/>
        <v/>
      </c>
    </row>
    <row r="408" spans="7:33" x14ac:dyDescent="0.2">
      <c r="G408" s="5" t="str">
        <f t="shared" si="43"/>
        <v/>
      </c>
      <c r="I408" s="5" t="str">
        <f t="shared" si="41"/>
        <v/>
      </c>
      <c r="K408" s="77"/>
      <c r="O408" s="5" t="str">
        <f t="shared" si="44"/>
        <v/>
      </c>
      <c r="Y408" s="5" t="str">
        <f t="shared" si="45"/>
        <v/>
      </c>
      <c r="AA408" s="5" t="str">
        <f t="shared" si="42"/>
        <v/>
      </c>
      <c r="AG408" s="5" t="str">
        <f t="shared" si="46"/>
        <v/>
      </c>
    </row>
    <row r="409" spans="7:33" x14ac:dyDescent="0.2">
      <c r="G409" s="5" t="str">
        <f t="shared" si="43"/>
        <v/>
      </c>
      <c r="I409" s="5" t="str">
        <f t="shared" si="41"/>
        <v/>
      </c>
      <c r="K409" s="77"/>
      <c r="O409" s="5" t="str">
        <f t="shared" si="44"/>
        <v/>
      </c>
      <c r="Y409" s="5" t="str">
        <f t="shared" si="45"/>
        <v/>
      </c>
      <c r="AA409" s="5" t="str">
        <f t="shared" si="42"/>
        <v/>
      </c>
      <c r="AG409" s="5" t="str">
        <f t="shared" si="46"/>
        <v/>
      </c>
    </row>
    <row r="410" spans="7:33" x14ac:dyDescent="0.2">
      <c r="G410" s="5" t="str">
        <f t="shared" si="43"/>
        <v/>
      </c>
      <c r="I410" s="5" t="str">
        <f t="shared" si="41"/>
        <v/>
      </c>
      <c r="K410" s="77"/>
      <c r="O410" s="5" t="str">
        <f t="shared" si="44"/>
        <v/>
      </c>
      <c r="Y410" s="5" t="str">
        <f t="shared" si="45"/>
        <v/>
      </c>
      <c r="AA410" s="5" t="str">
        <f t="shared" si="42"/>
        <v/>
      </c>
      <c r="AG410" s="5" t="str">
        <f t="shared" si="46"/>
        <v/>
      </c>
    </row>
    <row r="411" spans="7:33" x14ac:dyDescent="0.2">
      <c r="G411" s="5" t="str">
        <f t="shared" si="43"/>
        <v/>
      </c>
      <c r="I411" s="5" t="str">
        <f t="shared" si="41"/>
        <v/>
      </c>
      <c r="K411" s="77"/>
      <c r="O411" s="5" t="str">
        <f t="shared" si="44"/>
        <v/>
      </c>
      <c r="Y411" s="5" t="str">
        <f t="shared" si="45"/>
        <v/>
      </c>
      <c r="AA411" s="5" t="str">
        <f t="shared" si="42"/>
        <v/>
      </c>
      <c r="AG411" s="5" t="str">
        <f t="shared" si="46"/>
        <v/>
      </c>
    </row>
    <row r="412" spans="7:33" x14ac:dyDescent="0.2">
      <c r="G412" s="5" t="str">
        <f t="shared" si="43"/>
        <v/>
      </c>
      <c r="I412" s="5" t="str">
        <f t="shared" si="41"/>
        <v/>
      </c>
      <c r="K412" s="77"/>
      <c r="O412" s="5" t="str">
        <f t="shared" si="44"/>
        <v/>
      </c>
      <c r="Y412" s="5" t="str">
        <f t="shared" si="45"/>
        <v/>
      </c>
      <c r="AA412" s="5" t="str">
        <f t="shared" si="42"/>
        <v/>
      </c>
      <c r="AG412" s="5" t="str">
        <f t="shared" si="46"/>
        <v/>
      </c>
    </row>
    <row r="413" spans="7:33" x14ac:dyDescent="0.2">
      <c r="G413" s="5" t="str">
        <f t="shared" si="43"/>
        <v/>
      </c>
      <c r="I413" s="5" t="str">
        <f t="shared" si="41"/>
        <v/>
      </c>
      <c r="K413" s="77"/>
      <c r="O413" s="5" t="str">
        <f t="shared" si="44"/>
        <v/>
      </c>
      <c r="Y413" s="5" t="str">
        <f t="shared" si="45"/>
        <v/>
      </c>
      <c r="AA413" s="5" t="str">
        <f t="shared" si="42"/>
        <v/>
      </c>
      <c r="AG413" s="5" t="str">
        <f t="shared" si="46"/>
        <v/>
      </c>
    </row>
    <row r="414" spans="7:33" x14ac:dyDescent="0.2">
      <c r="G414" s="5" t="str">
        <f t="shared" si="43"/>
        <v/>
      </c>
      <c r="I414" s="5" t="str">
        <f t="shared" si="41"/>
        <v/>
      </c>
      <c r="K414" s="77"/>
      <c r="O414" s="5" t="str">
        <f t="shared" si="44"/>
        <v/>
      </c>
      <c r="Y414" s="5" t="str">
        <f t="shared" si="45"/>
        <v/>
      </c>
      <c r="AA414" s="5" t="str">
        <f t="shared" si="42"/>
        <v/>
      </c>
      <c r="AG414" s="5" t="str">
        <f t="shared" si="46"/>
        <v/>
      </c>
    </row>
    <row r="415" spans="7:33" x14ac:dyDescent="0.2">
      <c r="G415" s="5" t="str">
        <f t="shared" si="43"/>
        <v/>
      </c>
      <c r="I415" s="5" t="str">
        <f t="shared" si="41"/>
        <v/>
      </c>
      <c r="K415" s="79"/>
      <c r="O415" s="5" t="str">
        <f t="shared" si="44"/>
        <v/>
      </c>
      <c r="Y415" s="5" t="str">
        <f t="shared" si="45"/>
        <v/>
      </c>
      <c r="AA415" s="5" t="str">
        <f t="shared" si="42"/>
        <v/>
      </c>
      <c r="AG415" s="5" t="str">
        <f t="shared" si="46"/>
        <v/>
      </c>
    </row>
    <row r="416" spans="7:33" x14ac:dyDescent="0.2">
      <c r="G416" s="5" t="str">
        <f t="shared" si="43"/>
        <v/>
      </c>
      <c r="I416" s="5" t="str">
        <f t="shared" si="41"/>
        <v/>
      </c>
      <c r="K416" s="79"/>
      <c r="O416" s="5" t="str">
        <f t="shared" si="44"/>
        <v/>
      </c>
      <c r="Y416" s="5" t="str">
        <f t="shared" si="45"/>
        <v/>
      </c>
      <c r="AA416" s="5" t="str">
        <f t="shared" si="42"/>
        <v/>
      </c>
      <c r="AG416" s="5" t="str">
        <f t="shared" si="46"/>
        <v/>
      </c>
    </row>
    <row r="417" spans="7:33" x14ac:dyDescent="0.2">
      <c r="G417" s="5" t="str">
        <f t="shared" si="43"/>
        <v/>
      </c>
      <c r="I417" s="5" t="str">
        <f t="shared" si="41"/>
        <v/>
      </c>
      <c r="K417" s="79"/>
      <c r="O417" s="5" t="str">
        <f t="shared" si="44"/>
        <v/>
      </c>
      <c r="Y417" s="5" t="str">
        <f t="shared" si="45"/>
        <v/>
      </c>
      <c r="AA417" s="5" t="str">
        <f t="shared" si="42"/>
        <v/>
      </c>
      <c r="AG417" s="5" t="str">
        <f t="shared" si="46"/>
        <v/>
      </c>
    </row>
    <row r="418" spans="7:33" x14ac:dyDescent="0.2">
      <c r="G418" s="5" t="str">
        <f t="shared" si="43"/>
        <v/>
      </c>
      <c r="I418" s="5" t="str">
        <f t="shared" si="41"/>
        <v/>
      </c>
      <c r="K418" s="79"/>
      <c r="O418" s="5" t="str">
        <f t="shared" si="44"/>
        <v/>
      </c>
      <c r="Y418" s="5" t="str">
        <f t="shared" si="45"/>
        <v/>
      </c>
      <c r="AA418" s="5" t="str">
        <f t="shared" si="42"/>
        <v/>
      </c>
      <c r="AG418" s="5" t="str">
        <f t="shared" si="46"/>
        <v/>
      </c>
    </row>
    <row r="419" spans="7:33" x14ac:dyDescent="0.2">
      <c r="G419" s="5" t="str">
        <f t="shared" si="43"/>
        <v/>
      </c>
      <c r="I419" s="5" t="str">
        <f t="shared" si="41"/>
        <v/>
      </c>
      <c r="K419" s="79"/>
      <c r="O419" s="5" t="str">
        <f t="shared" si="44"/>
        <v/>
      </c>
      <c r="Y419" s="5" t="str">
        <f t="shared" si="45"/>
        <v/>
      </c>
      <c r="AA419" s="5" t="str">
        <f t="shared" si="42"/>
        <v/>
      </c>
      <c r="AG419" s="5" t="str">
        <f t="shared" si="46"/>
        <v/>
      </c>
    </row>
    <row r="420" spans="7:33" x14ac:dyDescent="0.2">
      <c r="G420" s="5" t="str">
        <f t="shared" si="43"/>
        <v/>
      </c>
      <c r="I420" s="5" t="str">
        <f t="shared" si="41"/>
        <v/>
      </c>
      <c r="K420" s="79"/>
      <c r="O420" s="5" t="str">
        <f t="shared" si="44"/>
        <v/>
      </c>
      <c r="Y420" s="5" t="str">
        <f t="shared" si="45"/>
        <v/>
      </c>
      <c r="AA420" s="5" t="str">
        <f t="shared" si="42"/>
        <v/>
      </c>
      <c r="AG420" s="5" t="str">
        <f t="shared" si="46"/>
        <v/>
      </c>
    </row>
    <row r="421" spans="7:33" x14ac:dyDescent="0.2">
      <c r="G421" s="5" t="str">
        <f t="shared" si="43"/>
        <v/>
      </c>
      <c r="I421" s="5" t="str">
        <f t="shared" si="41"/>
        <v/>
      </c>
      <c r="K421" s="79"/>
      <c r="O421" s="5" t="str">
        <f t="shared" si="44"/>
        <v/>
      </c>
      <c r="Y421" s="5" t="str">
        <f t="shared" si="45"/>
        <v/>
      </c>
      <c r="AA421" s="5" t="str">
        <f t="shared" si="42"/>
        <v/>
      </c>
      <c r="AG421" s="5" t="str">
        <f t="shared" si="46"/>
        <v/>
      </c>
    </row>
    <row r="422" spans="7:33" x14ac:dyDescent="0.2">
      <c r="G422" s="5" t="str">
        <f t="shared" si="43"/>
        <v/>
      </c>
      <c r="I422" s="5" t="str">
        <f t="shared" si="41"/>
        <v/>
      </c>
      <c r="K422" s="79"/>
      <c r="O422" s="5" t="str">
        <f t="shared" si="44"/>
        <v/>
      </c>
      <c r="Y422" s="5" t="str">
        <f t="shared" si="45"/>
        <v/>
      </c>
      <c r="AA422" s="5" t="str">
        <f t="shared" si="42"/>
        <v/>
      </c>
      <c r="AG422" s="5" t="str">
        <f t="shared" si="46"/>
        <v/>
      </c>
    </row>
    <row r="423" spans="7:33" x14ac:dyDescent="0.2">
      <c r="G423" s="5" t="str">
        <f t="shared" si="43"/>
        <v/>
      </c>
      <c r="I423" s="5" t="str">
        <f t="shared" si="41"/>
        <v/>
      </c>
      <c r="K423" s="79"/>
      <c r="O423" s="5" t="str">
        <f t="shared" si="44"/>
        <v/>
      </c>
      <c r="Y423" s="5" t="str">
        <f t="shared" si="45"/>
        <v/>
      </c>
      <c r="AA423" s="5" t="str">
        <f t="shared" si="42"/>
        <v/>
      </c>
      <c r="AG423" s="5" t="str">
        <f t="shared" si="46"/>
        <v/>
      </c>
    </row>
    <row r="424" spans="7:33" x14ac:dyDescent="0.2">
      <c r="G424" s="5" t="str">
        <f t="shared" si="43"/>
        <v/>
      </c>
      <c r="I424" s="5" t="str">
        <f t="shared" si="41"/>
        <v/>
      </c>
      <c r="K424" s="79"/>
      <c r="O424" s="5" t="str">
        <f t="shared" si="44"/>
        <v/>
      </c>
      <c r="Y424" s="5" t="str">
        <f t="shared" si="45"/>
        <v/>
      </c>
      <c r="AA424" s="5" t="str">
        <f t="shared" si="42"/>
        <v/>
      </c>
      <c r="AG424" s="5" t="str">
        <f t="shared" si="46"/>
        <v/>
      </c>
    </row>
    <row r="425" spans="7:33" x14ac:dyDescent="0.2">
      <c r="G425" s="5" t="str">
        <f t="shared" si="43"/>
        <v/>
      </c>
      <c r="I425" s="5" t="str">
        <f t="shared" si="41"/>
        <v/>
      </c>
      <c r="K425" s="79"/>
      <c r="O425" s="5" t="str">
        <f t="shared" si="44"/>
        <v/>
      </c>
      <c r="Y425" s="5" t="str">
        <f t="shared" si="45"/>
        <v/>
      </c>
      <c r="AA425" s="5" t="str">
        <f t="shared" si="42"/>
        <v/>
      </c>
      <c r="AG425" s="5" t="str">
        <f t="shared" si="46"/>
        <v/>
      </c>
    </row>
    <row r="426" spans="7:33" x14ac:dyDescent="0.2">
      <c r="G426" s="5" t="str">
        <f t="shared" si="43"/>
        <v/>
      </c>
      <c r="I426" s="5" t="str">
        <f t="shared" si="41"/>
        <v/>
      </c>
      <c r="K426" s="79"/>
      <c r="O426" s="5" t="str">
        <f t="shared" si="44"/>
        <v/>
      </c>
      <c r="Y426" s="5" t="str">
        <f t="shared" si="45"/>
        <v/>
      </c>
      <c r="AA426" s="5" t="str">
        <f t="shared" si="42"/>
        <v/>
      </c>
      <c r="AG426" s="5" t="str">
        <f t="shared" si="46"/>
        <v/>
      </c>
    </row>
    <row r="427" spans="7:33" x14ac:dyDescent="0.2">
      <c r="G427" s="5" t="str">
        <f t="shared" si="43"/>
        <v/>
      </c>
      <c r="I427" s="5" t="str">
        <f t="shared" si="41"/>
        <v/>
      </c>
      <c r="K427" s="79"/>
      <c r="O427" s="5" t="str">
        <f t="shared" si="44"/>
        <v/>
      </c>
      <c r="Y427" s="5" t="str">
        <f t="shared" si="45"/>
        <v/>
      </c>
      <c r="AA427" s="5" t="str">
        <f t="shared" si="42"/>
        <v/>
      </c>
      <c r="AG427" s="5" t="str">
        <f t="shared" si="46"/>
        <v/>
      </c>
    </row>
    <row r="428" spans="7:33" x14ac:dyDescent="0.2">
      <c r="G428" s="5" t="str">
        <f t="shared" si="43"/>
        <v/>
      </c>
      <c r="I428" s="5" t="str">
        <f t="shared" si="41"/>
        <v/>
      </c>
      <c r="K428" s="79"/>
      <c r="O428" s="5" t="str">
        <f t="shared" si="44"/>
        <v/>
      </c>
      <c r="Y428" s="5" t="str">
        <f t="shared" si="45"/>
        <v/>
      </c>
      <c r="AA428" s="5" t="str">
        <f t="shared" si="42"/>
        <v/>
      </c>
      <c r="AG428" s="5" t="str">
        <f t="shared" si="46"/>
        <v/>
      </c>
    </row>
    <row r="429" spans="7:33" x14ac:dyDescent="0.2">
      <c r="G429" s="5" t="str">
        <f t="shared" si="43"/>
        <v/>
      </c>
      <c r="I429" s="5" t="str">
        <f t="shared" si="41"/>
        <v/>
      </c>
      <c r="K429" s="79"/>
      <c r="O429" s="5" t="str">
        <f t="shared" si="44"/>
        <v/>
      </c>
      <c r="Y429" s="5" t="str">
        <f t="shared" si="45"/>
        <v/>
      </c>
      <c r="AA429" s="5" t="str">
        <f t="shared" si="42"/>
        <v/>
      </c>
      <c r="AG429" s="5" t="str">
        <f t="shared" si="46"/>
        <v/>
      </c>
    </row>
    <row r="430" spans="7:33" x14ac:dyDescent="0.2">
      <c r="G430" s="5" t="str">
        <f t="shared" si="43"/>
        <v/>
      </c>
      <c r="I430" s="5" t="str">
        <f t="shared" si="41"/>
        <v/>
      </c>
      <c r="K430" s="79"/>
      <c r="O430" s="5" t="str">
        <f t="shared" si="44"/>
        <v/>
      </c>
      <c r="Y430" s="5" t="str">
        <f t="shared" si="45"/>
        <v/>
      </c>
      <c r="AA430" s="5" t="str">
        <f t="shared" si="42"/>
        <v/>
      </c>
      <c r="AG430" s="5" t="str">
        <f t="shared" si="46"/>
        <v/>
      </c>
    </row>
    <row r="431" spans="7:33" x14ac:dyDescent="0.2">
      <c r="G431" s="5" t="str">
        <f t="shared" si="43"/>
        <v/>
      </c>
      <c r="I431" s="5" t="str">
        <f t="shared" si="41"/>
        <v/>
      </c>
      <c r="K431" s="79"/>
      <c r="O431" s="5" t="str">
        <f t="shared" si="44"/>
        <v/>
      </c>
      <c r="Y431" s="5" t="str">
        <f t="shared" si="45"/>
        <v/>
      </c>
      <c r="AA431" s="5" t="str">
        <f t="shared" si="42"/>
        <v/>
      </c>
      <c r="AG431" s="5" t="str">
        <f t="shared" si="46"/>
        <v/>
      </c>
    </row>
    <row r="432" spans="7:33" x14ac:dyDescent="0.2">
      <c r="G432" s="5" t="str">
        <f t="shared" si="43"/>
        <v/>
      </c>
      <c r="I432" s="5" t="str">
        <f t="shared" si="41"/>
        <v/>
      </c>
      <c r="K432" s="79"/>
      <c r="O432" s="5" t="str">
        <f t="shared" si="44"/>
        <v/>
      </c>
      <c r="Y432" s="5" t="str">
        <f t="shared" si="45"/>
        <v/>
      </c>
      <c r="AA432" s="5" t="str">
        <f t="shared" si="42"/>
        <v/>
      </c>
      <c r="AG432" s="5" t="str">
        <f t="shared" si="46"/>
        <v/>
      </c>
    </row>
    <row r="433" spans="7:33" x14ac:dyDescent="0.2">
      <c r="G433" s="5" t="str">
        <f t="shared" si="43"/>
        <v/>
      </c>
      <c r="I433" s="5" t="str">
        <f t="shared" si="41"/>
        <v/>
      </c>
      <c r="K433" s="79"/>
      <c r="O433" s="5" t="str">
        <f t="shared" si="44"/>
        <v/>
      </c>
      <c r="Y433" s="5" t="str">
        <f t="shared" si="45"/>
        <v/>
      </c>
      <c r="AA433" s="5" t="str">
        <f t="shared" si="42"/>
        <v/>
      </c>
      <c r="AG433" s="5" t="str">
        <f t="shared" si="46"/>
        <v/>
      </c>
    </row>
    <row r="434" spans="7:33" x14ac:dyDescent="0.2">
      <c r="G434" s="5" t="str">
        <f t="shared" si="43"/>
        <v/>
      </c>
      <c r="I434" s="5" t="str">
        <f t="shared" si="41"/>
        <v/>
      </c>
      <c r="K434" s="79"/>
      <c r="O434" s="5" t="str">
        <f t="shared" si="44"/>
        <v/>
      </c>
      <c r="Y434" s="5" t="str">
        <f t="shared" si="45"/>
        <v/>
      </c>
      <c r="AA434" s="5" t="str">
        <f t="shared" si="42"/>
        <v/>
      </c>
      <c r="AG434" s="5" t="str">
        <f t="shared" si="46"/>
        <v/>
      </c>
    </row>
    <row r="435" spans="7:33" x14ac:dyDescent="0.2">
      <c r="G435" s="5" t="str">
        <f t="shared" si="43"/>
        <v/>
      </c>
      <c r="I435" s="5" t="str">
        <f t="shared" si="41"/>
        <v/>
      </c>
      <c r="K435" s="79"/>
      <c r="O435" s="5" t="str">
        <f t="shared" si="44"/>
        <v/>
      </c>
      <c r="Y435" s="5" t="str">
        <f t="shared" si="45"/>
        <v/>
      </c>
      <c r="AA435" s="5" t="str">
        <f t="shared" si="42"/>
        <v/>
      </c>
      <c r="AG435" s="5" t="str">
        <f t="shared" si="46"/>
        <v/>
      </c>
    </row>
    <row r="436" spans="7:33" x14ac:dyDescent="0.2">
      <c r="G436" s="5" t="str">
        <f t="shared" si="43"/>
        <v/>
      </c>
      <c r="I436" s="5" t="str">
        <f t="shared" si="41"/>
        <v/>
      </c>
      <c r="K436" s="79"/>
      <c r="O436" s="5" t="str">
        <f t="shared" si="44"/>
        <v/>
      </c>
      <c r="Y436" s="5" t="str">
        <f t="shared" si="45"/>
        <v/>
      </c>
      <c r="AA436" s="5" t="str">
        <f t="shared" si="42"/>
        <v/>
      </c>
      <c r="AG436" s="5" t="str">
        <f t="shared" si="46"/>
        <v/>
      </c>
    </row>
    <row r="437" spans="7:33" x14ac:dyDescent="0.2">
      <c r="G437" s="5" t="str">
        <f t="shared" si="43"/>
        <v/>
      </c>
      <c r="I437" s="5" t="str">
        <f t="shared" si="41"/>
        <v/>
      </c>
      <c r="K437" s="79"/>
      <c r="O437" s="5" t="str">
        <f t="shared" si="44"/>
        <v/>
      </c>
      <c r="Y437" s="5" t="str">
        <f t="shared" si="45"/>
        <v/>
      </c>
      <c r="AA437" s="5" t="str">
        <f t="shared" si="42"/>
        <v/>
      </c>
      <c r="AG437" s="5" t="str">
        <f t="shared" si="46"/>
        <v/>
      </c>
    </row>
    <row r="438" spans="7:33" x14ac:dyDescent="0.2">
      <c r="G438" s="5" t="str">
        <f t="shared" si="43"/>
        <v/>
      </c>
      <c r="I438" s="5" t="str">
        <f t="shared" si="41"/>
        <v/>
      </c>
      <c r="K438" s="79"/>
      <c r="O438" s="5" t="str">
        <f t="shared" si="44"/>
        <v/>
      </c>
      <c r="Y438" s="5" t="str">
        <f t="shared" si="45"/>
        <v/>
      </c>
      <c r="AA438" s="5" t="str">
        <f t="shared" si="42"/>
        <v/>
      </c>
      <c r="AG438" s="5" t="str">
        <f t="shared" si="46"/>
        <v/>
      </c>
    </row>
    <row r="439" spans="7:33" x14ac:dyDescent="0.2">
      <c r="G439" s="5" t="str">
        <f t="shared" si="43"/>
        <v/>
      </c>
      <c r="I439" s="5" t="str">
        <f t="shared" si="41"/>
        <v/>
      </c>
      <c r="K439" s="79"/>
      <c r="O439" s="5" t="str">
        <f t="shared" si="44"/>
        <v/>
      </c>
      <c r="Y439" s="5" t="str">
        <f t="shared" si="45"/>
        <v/>
      </c>
      <c r="AA439" s="5" t="str">
        <f t="shared" si="42"/>
        <v/>
      </c>
      <c r="AG439" s="5" t="str">
        <f t="shared" si="46"/>
        <v/>
      </c>
    </row>
    <row r="440" spans="7:33" x14ac:dyDescent="0.2">
      <c r="G440" s="5" t="str">
        <f t="shared" si="43"/>
        <v/>
      </c>
      <c r="I440" s="5" t="str">
        <f t="shared" si="41"/>
        <v/>
      </c>
      <c r="K440" s="79"/>
      <c r="O440" s="5" t="str">
        <f t="shared" si="44"/>
        <v/>
      </c>
      <c r="Y440" s="5" t="str">
        <f t="shared" si="45"/>
        <v/>
      </c>
      <c r="AA440" s="5" t="str">
        <f t="shared" si="42"/>
        <v/>
      </c>
      <c r="AG440" s="5" t="str">
        <f t="shared" si="46"/>
        <v/>
      </c>
    </row>
    <row r="441" spans="7:33" x14ac:dyDescent="0.2">
      <c r="G441" s="5" t="str">
        <f t="shared" si="43"/>
        <v/>
      </c>
      <c r="I441" s="5" t="str">
        <f t="shared" si="41"/>
        <v/>
      </c>
      <c r="K441" s="79"/>
      <c r="O441" s="5" t="str">
        <f t="shared" si="44"/>
        <v/>
      </c>
      <c r="Y441" s="5" t="str">
        <f t="shared" si="45"/>
        <v/>
      </c>
      <c r="AA441" s="5" t="str">
        <f t="shared" si="42"/>
        <v/>
      </c>
      <c r="AG441" s="5" t="str">
        <f t="shared" si="46"/>
        <v/>
      </c>
    </row>
    <row r="442" spans="7:33" x14ac:dyDescent="0.2">
      <c r="G442" s="5" t="str">
        <f t="shared" si="43"/>
        <v/>
      </c>
      <c r="I442" s="5" t="str">
        <f t="shared" si="41"/>
        <v/>
      </c>
      <c r="K442" s="79"/>
      <c r="O442" s="5" t="str">
        <f t="shared" si="44"/>
        <v/>
      </c>
      <c r="Y442" s="5" t="str">
        <f t="shared" si="45"/>
        <v/>
      </c>
      <c r="AA442" s="5" t="str">
        <f t="shared" si="42"/>
        <v/>
      </c>
      <c r="AG442" s="5" t="str">
        <f t="shared" si="46"/>
        <v/>
      </c>
    </row>
    <row r="443" spans="7:33" x14ac:dyDescent="0.2">
      <c r="G443" s="5" t="str">
        <f t="shared" si="43"/>
        <v/>
      </c>
      <c r="I443" s="5" t="str">
        <f t="shared" si="41"/>
        <v/>
      </c>
      <c r="K443" s="79"/>
      <c r="O443" s="5" t="str">
        <f t="shared" si="44"/>
        <v/>
      </c>
      <c r="Y443" s="5" t="str">
        <f t="shared" si="45"/>
        <v/>
      </c>
      <c r="AA443" s="5" t="str">
        <f t="shared" si="42"/>
        <v/>
      </c>
      <c r="AG443" s="5" t="str">
        <f t="shared" si="46"/>
        <v/>
      </c>
    </row>
    <row r="444" spans="7:33" x14ac:dyDescent="0.2">
      <c r="G444" s="5" t="str">
        <f t="shared" si="43"/>
        <v/>
      </c>
      <c r="I444" s="5" t="str">
        <f t="shared" si="41"/>
        <v/>
      </c>
      <c r="K444" s="79"/>
      <c r="O444" s="5" t="str">
        <f t="shared" si="44"/>
        <v/>
      </c>
      <c r="Y444" s="5" t="str">
        <f t="shared" si="45"/>
        <v/>
      </c>
      <c r="AA444" s="5" t="str">
        <f t="shared" si="42"/>
        <v/>
      </c>
      <c r="AG444" s="5" t="str">
        <f t="shared" si="46"/>
        <v/>
      </c>
    </row>
    <row r="445" spans="7:33" x14ac:dyDescent="0.2">
      <c r="G445" s="5" t="str">
        <f t="shared" si="43"/>
        <v/>
      </c>
      <c r="I445" s="5" t="str">
        <f t="shared" si="41"/>
        <v/>
      </c>
      <c r="K445" s="79"/>
      <c r="O445" s="5" t="str">
        <f t="shared" si="44"/>
        <v/>
      </c>
      <c r="Y445" s="5" t="str">
        <f t="shared" si="45"/>
        <v/>
      </c>
      <c r="AA445" s="5" t="str">
        <f t="shared" si="42"/>
        <v/>
      </c>
      <c r="AG445" s="5" t="str">
        <f t="shared" si="46"/>
        <v/>
      </c>
    </row>
    <row r="446" spans="7:33" x14ac:dyDescent="0.2">
      <c r="G446" s="5" t="str">
        <f t="shared" si="43"/>
        <v/>
      </c>
      <c r="I446" s="5" t="str">
        <f t="shared" si="41"/>
        <v/>
      </c>
      <c r="K446" s="79"/>
      <c r="O446" s="5" t="str">
        <f t="shared" si="44"/>
        <v/>
      </c>
      <c r="Y446" s="5" t="str">
        <f t="shared" si="45"/>
        <v/>
      </c>
      <c r="AA446" s="5" t="str">
        <f t="shared" si="42"/>
        <v/>
      </c>
      <c r="AG446" s="5" t="str">
        <f t="shared" si="46"/>
        <v/>
      </c>
    </row>
    <row r="447" spans="7:33" x14ac:dyDescent="0.2">
      <c r="G447" s="5" t="str">
        <f t="shared" si="43"/>
        <v/>
      </c>
      <c r="I447" s="5" t="str">
        <f t="shared" si="41"/>
        <v/>
      </c>
      <c r="K447" s="79"/>
      <c r="O447" s="5" t="str">
        <f t="shared" si="44"/>
        <v/>
      </c>
      <c r="Y447" s="5" t="str">
        <f t="shared" si="45"/>
        <v/>
      </c>
      <c r="AA447" s="5" t="str">
        <f t="shared" si="42"/>
        <v/>
      </c>
      <c r="AG447" s="5" t="str">
        <f t="shared" si="46"/>
        <v/>
      </c>
    </row>
    <row r="448" spans="7:33" x14ac:dyDescent="0.2">
      <c r="G448" s="5" t="str">
        <f t="shared" si="43"/>
        <v/>
      </c>
      <c r="I448" s="5" t="str">
        <f t="shared" si="41"/>
        <v/>
      </c>
      <c r="K448" s="79"/>
      <c r="O448" s="5" t="str">
        <f t="shared" si="44"/>
        <v/>
      </c>
      <c r="Y448" s="5" t="str">
        <f t="shared" si="45"/>
        <v/>
      </c>
      <c r="AA448" s="5" t="str">
        <f t="shared" si="42"/>
        <v/>
      </c>
      <c r="AG448" s="5" t="str">
        <f t="shared" si="46"/>
        <v/>
      </c>
    </row>
    <row r="449" spans="7:33" x14ac:dyDescent="0.2">
      <c r="G449" s="5" t="str">
        <f t="shared" si="43"/>
        <v/>
      </c>
      <c r="I449" s="5" t="str">
        <f t="shared" si="41"/>
        <v/>
      </c>
      <c r="K449" s="79"/>
      <c r="O449" s="5" t="str">
        <f t="shared" si="44"/>
        <v/>
      </c>
      <c r="Y449" s="5" t="str">
        <f t="shared" si="45"/>
        <v/>
      </c>
      <c r="AA449" s="5" t="str">
        <f t="shared" si="42"/>
        <v/>
      </c>
      <c r="AG449" s="5" t="str">
        <f t="shared" si="46"/>
        <v/>
      </c>
    </row>
    <row r="450" spans="7:33" x14ac:dyDescent="0.2">
      <c r="G450" s="5" t="str">
        <f t="shared" si="43"/>
        <v/>
      </c>
      <c r="I450" s="5" t="str">
        <f t="shared" si="41"/>
        <v/>
      </c>
      <c r="K450" s="79"/>
      <c r="O450" s="5" t="str">
        <f t="shared" si="44"/>
        <v/>
      </c>
      <c r="Y450" s="5" t="str">
        <f t="shared" si="45"/>
        <v/>
      </c>
      <c r="AA450" s="5" t="str">
        <f t="shared" si="42"/>
        <v/>
      </c>
      <c r="AG450" s="5" t="str">
        <f t="shared" si="46"/>
        <v/>
      </c>
    </row>
    <row r="451" spans="7:33" x14ac:dyDescent="0.2">
      <c r="G451" s="5" t="str">
        <f t="shared" si="43"/>
        <v/>
      </c>
      <c r="I451" s="5" t="str">
        <f t="shared" si="41"/>
        <v/>
      </c>
      <c r="K451" s="79"/>
      <c r="O451" s="5" t="str">
        <f t="shared" si="44"/>
        <v/>
      </c>
      <c r="Y451" s="5" t="str">
        <f t="shared" si="45"/>
        <v/>
      </c>
      <c r="AA451" s="5" t="str">
        <f t="shared" si="42"/>
        <v/>
      </c>
      <c r="AG451" s="5" t="str">
        <f t="shared" si="46"/>
        <v/>
      </c>
    </row>
    <row r="452" spans="7:33" x14ac:dyDescent="0.2">
      <c r="G452" s="5" t="str">
        <f t="shared" si="43"/>
        <v/>
      </c>
      <c r="I452" s="5" t="str">
        <f t="shared" si="41"/>
        <v/>
      </c>
      <c r="K452" s="79"/>
      <c r="O452" s="5" t="str">
        <f t="shared" si="44"/>
        <v/>
      </c>
      <c r="Y452" s="5" t="str">
        <f t="shared" si="45"/>
        <v/>
      </c>
      <c r="AA452" s="5" t="str">
        <f t="shared" si="42"/>
        <v/>
      </c>
      <c r="AG452" s="5" t="str">
        <f t="shared" si="46"/>
        <v/>
      </c>
    </row>
    <row r="453" spans="7:33" x14ac:dyDescent="0.2">
      <c r="G453" s="5" t="str">
        <f t="shared" si="43"/>
        <v/>
      </c>
      <c r="I453" s="5" t="str">
        <f t="shared" si="41"/>
        <v/>
      </c>
      <c r="K453" s="79"/>
      <c r="O453" s="5" t="str">
        <f t="shared" si="44"/>
        <v/>
      </c>
      <c r="Y453" s="5" t="str">
        <f t="shared" si="45"/>
        <v/>
      </c>
      <c r="AA453" s="5" t="str">
        <f t="shared" si="42"/>
        <v/>
      </c>
      <c r="AG453" s="5" t="str">
        <f t="shared" si="46"/>
        <v/>
      </c>
    </row>
    <row r="454" spans="7:33" x14ac:dyDescent="0.2">
      <c r="G454" s="5" t="str">
        <f t="shared" si="43"/>
        <v/>
      </c>
      <c r="I454" s="5" t="str">
        <f t="shared" si="41"/>
        <v/>
      </c>
      <c r="K454" s="79"/>
      <c r="O454" s="5" t="str">
        <f t="shared" si="44"/>
        <v/>
      </c>
      <c r="Y454" s="5" t="str">
        <f t="shared" si="45"/>
        <v/>
      </c>
      <c r="AA454" s="5" t="str">
        <f t="shared" si="42"/>
        <v/>
      </c>
      <c r="AG454" s="5" t="str">
        <f t="shared" si="46"/>
        <v/>
      </c>
    </row>
    <row r="455" spans="7:33" x14ac:dyDescent="0.2">
      <c r="G455" s="5" t="str">
        <f t="shared" si="43"/>
        <v/>
      </c>
      <c r="I455" s="5" t="str">
        <f t="shared" si="41"/>
        <v/>
      </c>
      <c r="K455" s="79"/>
      <c r="O455" s="5" t="str">
        <f t="shared" si="44"/>
        <v/>
      </c>
      <c r="Y455" s="5" t="str">
        <f t="shared" si="45"/>
        <v/>
      </c>
      <c r="AA455" s="5" t="str">
        <f t="shared" si="42"/>
        <v/>
      </c>
      <c r="AG455" s="5" t="str">
        <f t="shared" si="46"/>
        <v/>
      </c>
    </row>
    <row r="456" spans="7:33" x14ac:dyDescent="0.2">
      <c r="G456" s="5" t="str">
        <f t="shared" si="43"/>
        <v/>
      </c>
      <c r="I456" s="5" t="str">
        <f t="shared" si="41"/>
        <v/>
      </c>
      <c r="K456" s="79"/>
      <c r="O456" s="5" t="str">
        <f t="shared" si="44"/>
        <v/>
      </c>
      <c r="Y456" s="5" t="str">
        <f t="shared" si="45"/>
        <v/>
      </c>
      <c r="AA456" s="5" t="str">
        <f t="shared" si="42"/>
        <v/>
      </c>
      <c r="AG456" s="5" t="str">
        <f t="shared" si="46"/>
        <v/>
      </c>
    </row>
    <row r="457" spans="7:33" x14ac:dyDescent="0.2">
      <c r="G457" s="5" t="str">
        <f t="shared" si="43"/>
        <v/>
      </c>
      <c r="I457" s="5" t="str">
        <f t="shared" si="41"/>
        <v/>
      </c>
      <c r="K457" s="79"/>
      <c r="O457" s="5" t="str">
        <f t="shared" si="44"/>
        <v/>
      </c>
      <c r="Y457" s="5" t="str">
        <f t="shared" si="45"/>
        <v/>
      </c>
      <c r="AA457" s="5" t="str">
        <f t="shared" si="42"/>
        <v/>
      </c>
      <c r="AG457" s="5" t="str">
        <f t="shared" si="46"/>
        <v/>
      </c>
    </row>
    <row r="458" spans="7:33" x14ac:dyDescent="0.2">
      <c r="G458" s="5" t="str">
        <f t="shared" si="43"/>
        <v/>
      </c>
      <c r="I458" s="5" t="str">
        <f t="shared" si="41"/>
        <v/>
      </c>
      <c r="K458" s="79"/>
      <c r="O458" s="5" t="str">
        <f t="shared" si="44"/>
        <v/>
      </c>
      <c r="Y458" s="5" t="str">
        <f t="shared" si="45"/>
        <v/>
      </c>
      <c r="AA458" s="5" t="str">
        <f t="shared" si="42"/>
        <v/>
      </c>
      <c r="AG458" s="5" t="str">
        <f t="shared" si="46"/>
        <v/>
      </c>
    </row>
    <row r="459" spans="7:33" x14ac:dyDescent="0.2">
      <c r="G459" s="5" t="str">
        <f t="shared" si="43"/>
        <v/>
      </c>
      <c r="I459" s="5" t="str">
        <f t="shared" si="41"/>
        <v/>
      </c>
      <c r="K459" s="79"/>
      <c r="O459" s="5" t="str">
        <f t="shared" si="44"/>
        <v/>
      </c>
      <c r="Y459" s="5" t="str">
        <f t="shared" si="45"/>
        <v/>
      </c>
      <c r="AA459" s="5" t="str">
        <f t="shared" si="42"/>
        <v/>
      </c>
      <c r="AG459" s="5" t="str">
        <f t="shared" si="46"/>
        <v/>
      </c>
    </row>
    <row r="460" spans="7:33" x14ac:dyDescent="0.2">
      <c r="G460" s="5" t="str">
        <f t="shared" si="43"/>
        <v/>
      </c>
      <c r="I460" s="5" t="str">
        <f t="shared" si="41"/>
        <v/>
      </c>
      <c r="K460" s="79"/>
      <c r="O460" s="5" t="str">
        <f t="shared" si="44"/>
        <v/>
      </c>
      <c r="Y460" s="5" t="str">
        <f t="shared" si="45"/>
        <v/>
      </c>
      <c r="AA460" s="5" t="str">
        <f t="shared" si="42"/>
        <v/>
      </c>
      <c r="AG460" s="5" t="str">
        <f t="shared" si="46"/>
        <v/>
      </c>
    </row>
    <row r="461" spans="7:33" x14ac:dyDescent="0.2">
      <c r="G461" s="5" t="str">
        <f t="shared" si="43"/>
        <v/>
      </c>
      <c r="I461" s="5" t="str">
        <f t="shared" si="41"/>
        <v/>
      </c>
      <c r="K461" s="79"/>
      <c r="O461" s="5" t="str">
        <f t="shared" si="44"/>
        <v/>
      </c>
      <c r="Y461" s="5" t="str">
        <f t="shared" si="45"/>
        <v/>
      </c>
      <c r="AA461" s="5" t="str">
        <f t="shared" si="42"/>
        <v/>
      </c>
      <c r="AG461" s="5" t="str">
        <f t="shared" si="46"/>
        <v/>
      </c>
    </row>
    <row r="462" spans="7:33" x14ac:dyDescent="0.2">
      <c r="G462" s="5" t="str">
        <f t="shared" si="43"/>
        <v/>
      </c>
      <c r="I462" s="5" t="str">
        <f t="shared" si="41"/>
        <v/>
      </c>
      <c r="K462" s="79"/>
      <c r="O462" s="5" t="str">
        <f t="shared" si="44"/>
        <v/>
      </c>
      <c r="Y462" s="5" t="str">
        <f t="shared" si="45"/>
        <v/>
      </c>
      <c r="AA462" s="5" t="str">
        <f t="shared" si="42"/>
        <v/>
      </c>
      <c r="AG462" s="5" t="str">
        <f t="shared" si="46"/>
        <v/>
      </c>
    </row>
    <row r="463" spans="7:33" x14ac:dyDescent="0.2">
      <c r="G463" s="5" t="str">
        <f t="shared" si="43"/>
        <v/>
      </c>
      <c r="I463" s="5" t="str">
        <f t="shared" si="41"/>
        <v/>
      </c>
      <c r="K463" s="79"/>
      <c r="O463" s="5" t="str">
        <f t="shared" si="44"/>
        <v/>
      </c>
      <c r="Y463" s="5" t="str">
        <f t="shared" si="45"/>
        <v/>
      </c>
      <c r="AA463" s="5" t="str">
        <f t="shared" si="42"/>
        <v/>
      </c>
      <c r="AG463" s="5" t="str">
        <f t="shared" si="46"/>
        <v/>
      </c>
    </row>
    <row r="464" spans="7:33" x14ac:dyDescent="0.2">
      <c r="G464" s="5" t="str">
        <f t="shared" si="43"/>
        <v/>
      </c>
      <c r="I464" s="5" t="str">
        <f t="shared" si="41"/>
        <v/>
      </c>
      <c r="K464" s="79"/>
      <c r="O464" s="5" t="str">
        <f t="shared" si="44"/>
        <v/>
      </c>
      <c r="Y464" s="5" t="str">
        <f t="shared" si="45"/>
        <v/>
      </c>
      <c r="AA464" s="5" t="str">
        <f t="shared" si="42"/>
        <v/>
      </c>
      <c r="AG464" s="5" t="str">
        <f t="shared" si="46"/>
        <v/>
      </c>
    </row>
    <row r="465" spans="7:33" x14ac:dyDescent="0.2">
      <c r="G465" s="5" t="str">
        <f t="shared" si="43"/>
        <v/>
      </c>
      <c r="I465" s="5" t="str">
        <f t="shared" si="41"/>
        <v/>
      </c>
      <c r="K465" s="79"/>
      <c r="O465" s="5" t="str">
        <f t="shared" si="44"/>
        <v/>
      </c>
      <c r="Y465" s="5" t="str">
        <f t="shared" si="45"/>
        <v/>
      </c>
      <c r="AA465" s="5" t="str">
        <f t="shared" si="42"/>
        <v/>
      </c>
      <c r="AG465" s="5" t="str">
        <f t="shared" si="46"/>
        <v/>
      </c>
    </row>
    <row r="466" spans="7:33" x14ac:dyDescent="0.2">
      <c r="G466" s="5" t="str">
        <f t="shared" si="43"/>
        <v/>
      </c>
      <c r="I466" s="5" t="str">
        <f t="shared" ref="I466:I500" si="47">IF(L466="","",IFERROR(ABS(VLOOKUP(L466,$L$17:$O$271,4,FALSE)-VLOOKUP(L466,$D$17:$G$271,4,FALSE)),""))</f>
        <v/>
      </c>
      <c r="K466" s="79"/>
      <c r="O466" s="5" t="str">
        <f t="shared" si="44"/>
        <v/>
      </c>
      <c r="Y466" s="5" t="str">
        <f t="shared" si="45"/>
        <v/>
      </c>
      <c r="AA466" s="5" t="str">
        <f t="shared" ref="AA466:AA500" si="48">IF(AD466="","",IFERROR(ABS(VLOOKUP(AD466,$L$17:$O$271,4,FALSE)-VLOOKUP(AD466,$D$17:$G$271,4,FALSE)),""))</f>
        <v/>
      </c>
      <c r="AG466" s="5" t="str">
        <f t="shared" si="46"/>
        <v/>
      </c>
    </row>
    <row r="467" spans="7:33" x14ac:dyDescent="0.2">
      <c r="G467" s="5" t="str">
        <f t="shared" si="43"/>
        <v/>
      </c>
      <c r="I467" s="5" t="str">
        <f t="shared" si="47"/>
        <v/>
      </c>
      <c r="K467" s="79"/>
      <c r="O467" s="5" t="str">
        <f t="shared" si="44"/>
        <v/>
      </c>
      <c r="Y467" s="5" t="str">
        <f t="shared" si="45"/>
        <v/>
      </c>
      <c r="AA467" s="5" t="str">
        <f t="shared" si="48"/>
        <v/>
      </c>
      <c r="AG467" s="5" t="str">
        <f t="shared" si="46"/>
        <v/>
      </c>
    </row>
    <row r="468" spans="7:33" x14ac:dyDescent="0.2">
      <c r="G468" s="5" t="str">
        <f t="shared" ref="G468:G500" si="49">IF(C468="","",IF(OR(G467="KILL",G467=""),"",IF(COUNTIF(E466:E468, 0) = 2, "Kill",IF(E468&gt;0,(E468+F468)/2,"Omit"))))</f>
        <v/>
      </c>
      <c r="I468" s="5" t="str">
        <f t="shared" si="47"/>
        <v/>
      </c>
      <c r="K468" s="79"/>
      <c r="O468" s="5" t="str">
        <f t="shared" ref="O468:O500" si="50">IF(K468="","",IF(OR(O467="KILL",O467=""),"",IF(COUNTIF(M466:M468, 0) = 2, "Kill",IF(M468&gt;0,(M468+N468)/2,"Omit"))))</f>
        <v/>
      </c>
      <c r="Y468" s="5" t="str">
        <f t="shared" ref="Y468:Y500" si="51">IF(U468="","",IF(OR(Y467="KILL",Y467=""),"",IF(COUNTIF(W466:W468, 0) = 2, "Kill",IF(W468&gt;0,(W468+X468)/2,"Omit"))))</f>
        <v/>
      </c>
      <c r="AA468" s="5" t="str">
        <f t="shared" si="48"/>
        <v/>
      </c>
      <c r="AG468" s="5" t="str">
        <f t="shared" ref="AG468:AG500" si="52">IF(AC468="","",IF(OR(AG467="KILL",AG467=""),"",IF(COUNTIF(AE466:AE468, 0) = 2, "Kill",IF(AE468&gt;0,(AE468+AF468)/2,"Omit"))))</f>
        <v/>
      </c>
    </row>
    <row r="469" spans="7:33" x14ac:dyDescent="0.2">
      <c r="G469" s="5" t="str">
        <f t="shared" si="49"/>
        <v/>
      </c>
      <c r="I469" s="5" t="str">
        <f t="shared" si="47"/>
        <v/>
      </c>
      <c r="K469" s="79"/>
      <c r="O469" s="5" t="str">
        <f t="shared" si="50"/>
        <v/>
      </c>
      <c r="Y469" s="5" t="str">
        <f t="shared" si="51"/>
        <v/>
      </c>
      <c r="AA469" s="5" t="str">
        <f t="shared" si="48"/>
        <v/>
      </c>
      <c r="AG469" s="5" t="str">
        <f t="shared" si="52"/>
        <v/>
      </c>
    </row>
    <row r="470" spans="7:33" x14ac:dyDescent="0.2">
      <c r="G470" s="5" t="str">
        <f t="shared" si="49"/>
        <v/>
      </c>
      <c r="I470" s="5" t="str">
        <f t="shared" si="47"/>
        <v/>
      </c>
      <c r="K470" s="79"/>
      <c r="O470" s="5" t="str">
        <f t="shared" si="50"/>
        <v/>
      </c>
      <c r="Y470" s="5" t="str">
        <f t="shared" si="51"/>
        <v/>
      </c>
      <c r="AA470" s="5" t="str">
        <f t="shared" si="48"/>
        <v/>
      </c>
      <c r="AG470" s="5" t="str">
        <f t="shared" si="52"/>
        <v/>
      </c>
    </row>
    <row r="471" spans="7:33" x14ac:dyDescent="0.2">
      <c r="G471" s="5" t="str">
        <f t="shared" si="49"/>
        <v/>
      </c>
      <c r="I471" s="5" t="str">
        <f t="shared" si="47"/>
        <v/>
      </c>
      <c r="K471" s="79"/>
      <c r="O471" s="5" t="str">
        <f t="shared" si="50"/>
        <v/>
      </c>
      <c r="Y471" s="5" t="str">
        <f t="shared" si="51"/>
        <v/>
      </c>
      <c r="AA471" s="5" t="str">
        <f t="shared" si="48"/>
        <v/>
      </c>
      <c r="AG471" s="5" t="str">
        <f t="shared" si="52"/>
        <v/>
      </c>
    </row>
    <row r="472" spans="7:33" x14ac:dyDescent="0.2">
      <c r="G472" s="5" t="str">
        <f t="shared" si="49"/>
        <v/>
      </c>
      <c r="I472" s="5" t="str">
        <f t="shared" si="47"/>
        <v/>
      </c>
      <c r="K472" s="79"/>
      <c r="O472" s="5" t="str">
        <f t="shared" si="50"/>
        <v/>
      </c>
      <c r="Y472" s="5" t="str">
        <f t="shared" si="51"/>
        <v/>
      </c>
      <c r="AA472" s="5" t="str">
        <f t="shared" si="48"/>
        <v/>
      </c>
      <c r="AG472" s="5" t="str">
        <f t="shared" si="52"/>
        <v/>
      </c>
    </row>
    <row r="473" spans="7:33" x14ac:dyDescent="0.2">
      <c r="G473" s="5" t="str">
        <f t="shared" si="49"/>
        <v/>
      </c>
      <c r="I473" s="5" t="str">
        <f t="shared" si="47"/>
        <v/>
      </c>
      <c r="K473" s="79"/>
      <c r="O473" s="5" t="str">
        <f t="shared" si="50"/>
        <v/>
      </c>
      <c r="Y473" s="5" t="str">
        <f t="shared" si="51"/>
        <v/>
      </c>
      <c r="AA473" s="5" t="str">
        <f t="shared" si="48"/>
        <v/>
      </c>
      <c r="AG473" s="5" t="str">
        <f t="shared" si="52"/>
        <v/>
      </c>
    </row>
    <row r="474" spans="7:33" x14ac:dyDescent="0.2">
      <c r="G474" s="5" t="str">
        <f t="shared" si="49"/>
        <v/>
      </c>
      <c r="I474" s="5" t="str">
        <f t="shared" si="47"/>
        <v/>
      </c>
      <c r="K474" s="79"/>
      <c r="O474" s="5" t="str">
        <f t="shared" si="50"/>
        <v/>
      </c>
      <c r="Y474" s="5" t="str">
        <f t="shared" si="51"/>
        <v/>
      </c>
      <c r="AA474" s="5" t="str">
        <f t="shared" si="48"/>
        <v/>
      </c>
      <c r="AG474" s="5" t="str">
        <f t="shared" si="52"/>
        <v/>
      </c>
    </row>
    <row r="475" spans="7:33" x14ac:dyDescent="0.2">
      <c r="G475" s="5" t="str">
        <f t="shared" si="49"/>
        <v/>
      </c>
      <c r="I475" s="5" t="str">
        <f t="shared" si="47"/>
        <v/>
      </c>
      <c r="K475" s="79"/>
      <c r="O475" s="5" t="str">
        <f t="shared" si="50"/>
        <v/>
      </c>
      <c r="Y475" s="5" t="str">
        <f t="shared" si="51"/>
        <v/>
      </c>
      <c r="AA475" s="5" t="str">
        <f t="shared" si="48"/>
        <v/>
      </c>
      <c r="AG475" s="5" t="str">
        <f t="shared" si="52"/>
        <v/>
      </c>
    </row>
    <row r="476" spans="7:33" x14ac:dyDescent="0.2">
      <c r="G476" s="5" t="str">
        <f t="shared" si="49"/>
        <v/>
      </c>
      <c r="I476" s="5" t="str">
        <f t="shared" si="47"/>
        <v/>
      </c>
      <c r="K476" s="79"/>
      <c r="O476" s="5" t="str">
        <f t="shared" si="50"/>
        <v/>
      </c>
      <c r="Y476" s="5" t="str">
        <f t="shared" si="51"/>
        <v/>
      </c>
      <c r="AA476" s="5" t="str">
        <f t="shared" si="48"/>
        <v/>
      </c>
      <c r="AG476" s="5" t="str">
        <f t="shared" si="52"/>
        <v/>
      </c>
    </row>
    <row r="477" spans="7:33" x14ac:dyDescent="0.2">
      <c r="G477" s="5" t="str">
        <f t="shared" si="49"/>
        <v/>
      </c>
      <c r="I477" s="5" t="str">
        <f t="shared" si="47"/>
        <v/>
      </c>
      <c r="K477" s="79"/>
      <c r="O477" s="5" t="str">
        <f t="shared" si="50"/>
        <v/>
      </c>
      <c r="Y477" s="5" t="str">
        <f t="shared" si="51"/>
        <v/>
      </c>
      <c r="AA477" s="5" t="str">
        <f t="shared" si="48"/>
        <v/>
      </c>
      <c r="AG477" s="5" t="str">
        <f t="shared" si="52"/>
        <v/>
      </c>
    </row>
    <row r="478" spans="7:33" x14ac:dyDescent="0.2">
      <c r="G478" s="5" t="str">
        <f t="shared" si="49"/>
        <v/>
      </c>
      <c r="I478" s="5" t="str">
        <f t="shared" si="47"/>
        <v/>
      </c>
      <c r="K478" s="79"/>
      <c r="O478" s="5" t="str">
        <f t="shared" si="50"/>
        <v/>
      </c>
      <c r="Y478" s="5" t="str">
        <f t="shared" si="51"/>
        <v/>
      </c>
      <c r="AA478" s="5" t="str">
        <f t="shared" si="48"/>
        <v/>
      </c>
      <c r="AG478" s="5" t="str">
        <f t="shared" si="52"/>
        <v/>
      </c>
    </row>
    <row r="479" spans="7:33" x14ac:dyDescent="0.2">
      <c r="G479" s="5" t="str">
        <f t="shared" si="49"/>
        <v/>
      </c>
      <c r="I479" s="5" t="str">
        <f t="shared" si="47"/>
        <v/>
      </c>
      <c r="K479" s="79"/>
      <c r="O479" s="5" t="str">
        <f t="shared" si="50"/>
        <v/>
      </c>
      <c r="Y479" s="5" t="str">
        <f t="shared" si="51"/>
        <v/>
      </c>
      <c r="AA479" s="5" t="str">
        <f t="shared" si="48"/>
        <v/>
      </c>
      <c r="AG479" s="5" t="str">
        <f t="shared" si="52"/>
        <v/>
      </c>
    </row>
    <row r="480" spans="7:33" x14ac:dyDescent="0.2">
      <c r="G480" s="5" t="str">
        <f t="shared" si="49"/>
        <v/>
      </c>
      <c r="I480" s="5" t="str">
        <f t="shared" si="47"/>
        <v/>
      </c>
      <c r="K480" s="79"/>
      <c r="O480" s="5" t="str">
        <f t="shared" si="50"/>
        <v/>
      </c>
      <c r="Y480" s="5" t="str">
        <f t="shared" si="51"/>
        <v/>
      </c>
      <c r="AA480" s="5" t="str">
        <f t="shared" si="48"/>
        <v/>
      </c>
      <c r="AG480" s="5" t="str">
        <f t="shared" si="52"/>
        <v/>
      </c>
    </row>
    <row r="481" spans="7:33" x14ac:dyDescent="0.2">
      <c r="G481" s="5" t="str">
        <f t="shared" si="49"/>
        <v/>
      </c>
      <c r="I481" s="5" t="str">
        <f t="shared" si="47"/>
        <v/>
      </c>
      <c r="K481" s="79"/>
      <c r="O481" s="5" t="str">
        <f t="shared" si="50"/>
        <v/>
      </c>
      <c r="Y481" s="5" t="str">
        <f t="shared" si="51"/>
        <v/>
      </c>
      <c r="AA481" s="5" t="str">
        <f t="shared" si="48"/>
        <v/>
      </c>
      <c r="AG481" s="5" t="str">
        <f t="shared" si="52"/>
        <v/>
      </c>
    </row>
    <row r="482" spans="7:33" x14ac:dyDescent="0.2">
      <c r="G482" s="5" t="str">
        <f t="shared" si="49"/>
        <v/>
      </c>
      <c r="I482" s="5" t="str">
        <f t="shared" si="47"/>
        <v/>
      </c>
      <c r="K482" s="79"/>
      <c r="O482" s="5" t="str">
        <f t="shared" si="50"/>
        <v/>
      </c>
      <c r="Y482" s="5" t="str">
        <f t="shared" si="51"/>
        <v/>
      </c>
      <c r="AA482" s="5" t="str">
        <f t="shared" si="48"/>
        <v/>
      </c>
      <c r="AG482" s="5" t="str">
        <f t="shared" si="52"/>
        <v/>
      </c>
    </row>
    <row r="483" spans="7:33" x14ac:dyDescent="0.2">
      <c r="G483" s="5" t="str">
        <f t="shared" si="49"/>
        <v/>
      </c>
      <c r="I483" s="5" t="str">
        <f t="shared" si="47"/>
        <v/>
      </c>
      <c r="K483" s="79"/>
      <c r="O483" s="5" t="str">
        <f t="shared" si="50"/>
        <v/>
      </c>
      <c r="Y483" s="5" t="str">
        <f t="shared" si="51"/>
        <v/>
      </c>
      <c r="AA483" s="5" t="str">
        <f t="shared" si="48"/>
        <v/>
      </c>
      <c r="AG483" s="5" t="str">
        <f t="shared" si="52"/>
        <v/>
      </c>
    </row>
    <row r="484" spans="7:33" x14ac:dyDescent="0.2">
      <c r="G484" s="5" t="str">
        <f t="shared" si="49"/>
        <v/>
      </c>
      <c r="I484" s="5" t="str">
        <f t="shared" si="47"/>
        <v/>
      </c>
      <c r="K484" s="79"/>
      <c r="O484" s="5" t="str">
        <f t="shared" si="50"/>
        <v/>
      </c>
      <c r="Y484" s="5" t="str">
        <f t="shared" si="51"/>
        <v/>
      </c>
      <c r="AA484" s="5" t="str">
        <f t="shared" si="48"/>
        <v/>
      </c>
      <c r="AG484" s="5" t="str">
        <f t="shared" si="52"/>
        <v/>
      </c>
    </row>
    <row r="485" spans="7:33" x14ac:dyDescent="0.2">
      <c r="G485" s="5" t="str">
        <f t="shared" si="49"/>
        <v/>
      </c>
      <c r="I485" s="5" t="str">
        <f t="shared" si="47"/>
        <v/>
      </c>
      <c r="K485" s="79"/>
      <c r="O485" s="5" t="str">
        <f t="shared" si="50"/>
        <v/>
      </c>
      <c r="Y485" s="5" t="str">
        <f t="shared" si="51"/>
        <v/>
      </c>
      <c r="AA485" s="5" t="str">
        <f t="shared" si="48"/>
        <v/>
      </c>
      <c r="AG485" s="5" t="str">
        <f t="shared" si="52"/>
        <v/>
      </c>
    </row>
    <row r="486" spans="7:33" x14ac:dyDescent="0.2">
      <c r="G486" s="5" t="str">
        <f t="shared" si="49"/>
        <v/>
      </c>
      <c r="I486" s="5" t="str">
        <f t="shared" si="47"/>
        <v/>
      </c>
      <c r="K486" s="79"/>
      <c r="O486" s="5" t="str">
        <f t="shared" si="50"/>
        <v/>
      </c>
      <c r="Y486" s="5" t="str">
        <f t="shared" si="51"/>
        <v/>
      </c>
      <c r="AA486" s="5" t="str">
        <f t="shared" si="48"/>
        <v/>
      </c>
      <c r="AG486" s="5" t="str">
        <f t="shared" si="52"/>
        <v/>
      </c>
    </row>
    <row r="487" spans="7:33" x14ac:dyDescent="0.2">
      <c r="G487" s="5" t="str">
        <f t="shared" si="49"/>
        <v/>
      </c>
      <c r="I487" s="5" t="str">
        <f t="shared" si="47"/>
        <v/>
      </c>
      <c r="K487" s="79"/>
      <c r="O487" s="5" t="str">
        <f t="shared" si="50"/>
        <v/>
      </c>
      <c r="Y487" s="5" t="str">
        <f t="shared" si="51"/>
        <v/>
      </c>
      <c r="AA487" s="5" t="str">
        <f t="shared" si="48"/>
        <v/>
      </c>
      <c r="AG487" s="5" t="str">
        <f t="shared" si="52"/>
        <v/>
      </c>
    </row>
    <row r="488" spans="7:33" x14ac:dyDescent="0.2">
      <c r="G488" s="5" t="str">
        <f t="shared" si="49"/>
        <v/>
      </c>
      <c r="I488" s="5" t="str">
        <f t="shared" si="47"/>
        <v/>
      </c>
      <c r="K488" s="79"/>
      <c r="O488" s="5" t="str">
        <f t="shared" si="50"/>
        <v/>
      </c>
      <c r="Y488" s="5" t="str">
        <f t="shared" si="51"/>
        <v/>
      </c>
      <c r="AA488" s="5" t="str">
        <f t="shared" si="48"/>
        <v/>
      </c>
      <c r="AG488" s="5" t="str">
        <f t="shared" si="52"/>
        <v/>
      </c>
    </row>
    <row r="489" spans="7:33" x14ac:dyDescent="0.2">
      <c r="G489" s="5" t="str">
        <f t="shared" si="49"/>
        <v/>
      </c>
      <c r="I489" s="5" t="str">
        <f t="shared" si="47"/>
        <v/>
      </c>
      <c r="K489" s="79"/>
      <c r="O489" s="5" t="str">
        <f t="shared" si="50"/>
        <v/>
      </c>
      <c r="Y489" s="5" t="str">
        <f t="shared" si="51"/>
        <v/>
      </c>
      <c r="AA489" s="5" t="str">
        <f t="shared" si="48"/>
        <v/>
      </c>
      <c r="AG489" s="5" t="str">
        <f t="shared" si="52"/>
        <v/>
      </c>
    </row>
    <row r="490" spans="7:33" x14ac:dyDescent="0.2">
      <c r="G490" s="5" t="str">
        <f t="shared" si="49"/>
        <v/>
      </c>
      <c r="I490" s="5" t="str">
        <f t="shared" si="47"/>
        <v/>
      </c>
      <c r="K490" s="79"/>
      <c r="O490" s="5" t="str">
        <f t="shared" si="50"/>
        <v/>
      </c>
      <c r="Y490" s="5" t="str">
        <f t="shared" si="51"/>
        <v/>
      </c>
      <c r="AA490" s="5" t="str">
        <f t="shared" si="48"/>
        <v/>
      </c>
      <c r="AG490" s="5" t="str">
        <f t="shared" si="52"/>
        <v/>
      </c>
    </row>
    <row r="491" spans="7:33" x14ac:dyDescent="0.2">
      <c r="G491" s="5" t="str">
        <f t="shared" si="49"/>
        <v/>
      </c>
      <c r="I491" s="5" t="str">
        <f t="shared" si="47"/>
        <v/>
      </c>
      <c r="K491" s="79"/>
      <c r="O491" s="5" t="str">
        <f t="shared" si="50"/>
        <v/>
      </c>
      <c r="Y491" s="5" t="str">
        <f t="shared" si="51"/>
        <v/>
      </c>
      <c r="AA491" s="5" t="str">
        <f t="shared" si="48"/>
        <v/>
      </c>
      <c r="AG491" s="5" t="str">
        <f t="shared" si="52"/>
        <v/>
      </c>
    </row>
    <row r="492" spans="7:33" x14ac:dyDescent="0.2">
      <c r="G492" s="5" t="str">
        <f t="shared" si="49"/>
        <v/>
      </c>
      <c r="I492" s="5" t="str">
        <f t="shared" si="47"/>
        <v/>
      </c>
      <c r="K492" s="79"/>
      <c r="O492" s="5" t="str">
        <f t="shared" si="50"/>
        <v/>
      </c>
      <c r="Y492" s="5" t="str">
        <f t="shared" si="51"/>
        <v/>
      </c>
      <c r="AA492" s="5" t="str">
        <f t="shared" si="48"/>
        <v/>
      </c>
      <c r="AG492" s="5" t="str">
        <f t="shared" si="52"/>
        <v/>
      </c>
    </row>
    <row r="493" spans="7:33" x14ac:dyDescent="0.2">
      <c r="G493" s="5" t="str">
        <f t="shared" si="49"/>
        <v/>
      </c>
      <c r="I493" s="5" t="str">
        <f t="shared" si="47"/>
        <v/>
      </c>
      <c r="K493" s="79"/>
      <c r="O493" s="5" t="str">
        <f t="shared" si="50"/>
        <v/>
      </c>
      <c r="Y493" s="5" t="str">
        <f t="shared" si="51"/>
        <v/>
      </c>
      <c r="AA493" s="5" t="str">
        <f t="shared" si="48"/>
        <v/>
      </c>
      <c r="AG493" s="5" t="str">
        <f t="shared" si="52"/>
        <v/>
      </c>
    </row>
    <row r="494" spans="7:33" x14ac:dyDescent="0.2">
      <c r="G494" s="5" t="str">
        <f t="shared" si="49"/>
        <v/>
      </c>
      <c r="I494" s="5" t="str">
        <f t="shared" si="47"/>
        <v/>
      </c>
      <c r="K494" s="79"/>
      <c r="O494" s="5" t="str">
        <f t="shared" si="50"/>
        <v/>
      </c>
      <c r="Y494" s="5" t="str">
        <f t="shared" si="51"/>
        <v/>
      </c>
      <c r="AA494" s="5" t="str">
        <f t="shared" si="48"/>
        <v/>
      </c>
      <c r="AG494" s="5" t="str">
        <f t="shared" si="52"/>
        <v/>
      </c>
    </row>
    <row r="495" spans="7:33" x14ac:dyDescent="0.2">
      <c r="G495" s="5" t="str">
        <f t="shared" si="49"/>
        <v/>
      </c>
      <c r="I495" s="5" t="str">
        <f t="shared" si="47"/>
        <v/>
      </c>
      <c r="K495" s="79"/>
      <c r="O495" s="5" t="str">
        <f t="shared" si="50"/>
        <v/>
      </c>
      <c r="Y495" s="5" t="str">
        <f t="shared" si="51"/>
        <v/>
      </c>
      <c r="AA495" s="5" t="str">
        <f t="shared" si="48"/>
        <v/>
      </c>
      <c r="AG495" s="5" t="str">
        <f t="shared" si="52"/>
        <v/>
      </c>
    </row>
    <row r="496" spans="7:33" x14ac:dyDescent="0.2">
      <c r="G496" s="5" t="str">
        <f t="shared" si="49"/>
        <v/>
      </c>
      <c r="I496" s="5" t="str">
        <f t="shared" si="47"/>
        <v/>
      </c>
      <c r="K496" s="79"/>
      <c r="O496" s="5" t="str">
        <f t="shared" si="50"/>
        <v/>
      </c>
      <c r="Y496" s="5" t="str">
        <f t="shared" si="51"/>
        <v/>
      </c>
      <c r="AA496" s="5" t="str">
        <f t="shared" si="48"/>
        <v/>
      </c>
      <c r="AG496" s="5" t="str">
        <f t="shared" si="52"/>
        <v/>
      </c>
    </row>
    <row r="497" spans="1:42" x14ac:dyDescent="0.2">
      <c r="G497" s="5" t="str">
        <f t="shared" si="49"/>
        <v/>
      </c>
      <c r="I497" s="5" t="str">
        <f t="shared" si="47"/>
        <v/>
      </c>
      <c r="K497" s="79"/>
      <c r="O497" s="5" t="str">
        <f t="shared" si="50"/>
        <v/>
      </c>
      <c r="Y497" s="5" t="str">
        <f t="shared" si="51"/>
        <v/>
      </c>
      <c r="AA497" s="5" t="str">
        <f t="shared" si="48"/>
        <v/>
      </c>
      <c r="AG497" s="5" t="str">
        <f t="shared" si="52"/>
        <v/>
      </c>
    </row>
    <row r="498" spans="1:42" x14ac:dyDescent="0.2">
      <c r="G498" s="5" t="str">
        <f t="shared" si="49"/>
        <v/>
      </c>
      <c r="I498" s="5" t="str">
        <f t="shared" si="47"/>
        <v/>
      </c>
      <c r="K498" s="79"/>
      <c r="O498" s="5" t="str">
        <f t="shared" si="50"/>
        <v/>
      </c>
      <c r="Y498" s="5" t="str">
        <f t="shared" si="51"/>
        <v/>
      </c>
      <c r="AA498" s="5" t="str">
        <f t="shared" si="48"/>
        <v/>
      </c>
      <c r="AG498" s="5" t="str">
        <f t="shared" si="52"/>
        <v/>
      </c>
    </row>
    <row r="499" spans="1:42" x14ac:dyDescent="0.2">
      <c r="G499" s="5" t="str">
        <f t="shared" si="49"/>
        <v/>
      </c>
      <c r="I499" s="5" t="str">
        <f t="shared" si="47"/>
        <v/>
      </c>
      <c r="K499" s="79"/>
      <c r="O499" s="5" t="str">
        <f t="shared" si="50"/>
        <v/>
      </c>
      <c r="Y499" s="5" t="str">
        <f t="shared" si="51"/>
        <v/>
      </c>
      <c r="AA499" s="5" t="str">
        <f t="shared" si="48"/>
        <v/>
      </c>
      <c r="AG499" s="5" t="str">
        <f t="shared" si="52"/>
        <v/>
      </c>
    </row>
    <row r="500" spans="1:42" x14ac:dyDescent="0.2">
      <c r="G500" s="5" t="str">
        <f t="shared" si="49"/>
        <v/>
      </c>
      <c r="I500" s="5" t="str">
        <f t="shared" si="47"/>
        <v/>
      </c>
      <c r="K500" s="79"/>
      <c r="O500" s="5" t="str">
        <f t="shared" si="50"/>
        <v/>
      </c>
      <c r="Y500" s="5" t="str">
        <f t="shared" si="51"/>
        <v/>
      </c>
      <c r="AA500" s="5" t="str">
        <f t="shared" si="48"/>
        <v/>
      </c>
      <c r="AG500" s="5" t="str">
        <f t="shared" si="52"/>
        <v/>
      </c>
    </row>
    <row r="501" spans="1:42" x14ac:dyDescent="0.2">
      <c r="A501" s="86"/>
      <c r="B501" s="86"/>
      <c r="C501" s="87"/>
      <c r="D501" s="87"/>
      <c r="E501" s="87"/>
      <c r="F501" s="87"/>
      <c r="G501" s="88"/>
      <c r="H501" s="88"/>
      <c r="I501" s="88"/>
      <c r="J501" s="88"/>
      <c r="K501" s="89"/>
      <c r="L501" s="88"/>
      <c r="M501" s="88"/>
      <c r="N501" s="88"/>
      <c r="O501" s="88"/>
      <c r="P501" s="88"/>
      <c r="Q501" s="88"/>
      <c r="R501" s="88"/>
      <c r="S501" s="88"/>
      <c r="T501" s="86"/>
      <c r="U501" s="87"/>
      <c r="V501" s="87"/>
      <c r="W501" s="87"/>
      <c r="X501" s="87"/>
      <c r="Y501" s="88"/>
      <c r="Z501" s="88"/>
      <c r="AA501" s="88"/>
      <c r="AB501" s="88"/>
      <c r="AC501" s="88"/>
      <c r="AD501" s="88"/>
      <c r="AE501" s="88"/>
      <c r="AF501" s="88"/>
      <c r="AG501" s="88"/>
      <c r="AH501" s="86"/>
      <c r="AI501" s="88"/>
      <c r="AJ501" s="88"/>
      <c r="AK501" s="88"/>
      <c r="AL501" s="86"/>
      <c r="AM501" s="86"/>
      <c r="AN501" s="86"/>
      <c r="AO501" s="86"/>
      <c r="AP501" s="86"/>
    </row>
    <row r="502" spans="1:42" x14ac:dyDescent="0.2">
      <c r="A502" s="86"/>
      <c r="B502" s="86"/>
      <c r="C502" s="87"/>
      <c r="D502" s="87"/>
      <c r="E502" s="87"/>
      <c r="F502" s="87"/>
      <c r="G502" s="88"/>
      <c r="H502" s="88"/>
      <c r="I502" s="88"/>
      <c r="J502" s="88"/>
      <c r="K502" s="89"/>
      <c r="L502" s="88"/>
      <c r="M502" s="88"/>
      <c r="N502" s="88"/>
      <c r="O502" s="88"/>
      <c r="P502" s="88"/>
      <c r="Q502" s="88"/>
      <c r="R502" s="88"/>
      <c r="S502" s="88"/>
      <c r="T502" s="86"/>
      <c r="U502" s="87"/>
      <c r="V502" s="87"/>
      <c r="W502" s="87"/>
      <c r="X502" s="87"/>
      <c r="Y502" s="88"/>
      <c r="Z502" s="88"/>
      <c r="AA502" s="88"/>
      <c r="AB502" s="88"/>
      <c r="AC502" s="88"/>
      <c r="AD502" s="88"/>
      <c r="AE502" s="88"/>
      <c r="AF502" s="88"/>
      <c r="AG502" s="88"/>
      <c r="AH502" s="86"/>
      <c r="AI502" s="88"/>
      <c r="AJ502" s="88"/>
      <c r="AK502" s="88"/>
      <c r="AL502" s="86"/>
      <c r="AM502" s="86"/>
      <c r="AN502" s="86"/>
      <c r="AO502" s="86"/>
      <c r="AP502" s="86"/>
    </row>
    <row r="503" spans="1:42" x14ac:dyDescent="0.2">
      <c r="K503" s="79"/>
    </row>
    <row r="504" spans="1:42" x14ac:dyDescent="0.2">
      <c r="K504" s="79"/>
    </row>
    <row r="505" spans="1:42" x14ac:dyDescent="0.2">
      <c r="K505" s="79"/>
    </row>
    <row r="506" spans="1:42" x14ac:dyDescent="0.2">
      <c r="K506" s="79"/>
    </row>
    <row r="507" spans="1:42" x14ac:dyDescent="0.2">
      <c r="K507" s="79"/>
    </row>
    <row r="508" spans="1:42" x14ac:dyDescent="0.2">
      <c r="K508" s="79"/>
    </row>
    <row r="509" spans="1:42" x14ac:dyDescent="0.2">
      <c r="K509" s="79"/>
    </row>
    <row r="510" spans="1:42" x14ac:dyDescent="0.2">
      <c r="K510" s="79"/>
    </row>
    <row r="511" spans="1:42" x14ac:dyDescent="0.2">
      <c r="K511" s="79"/>
    </row>
    <row r="512" spans="1:42" x14ac:dyDescent="0.2">
      <c r="K512" s="79"/>
    </row>
    <row r="513" spans="11:11" x14ac:dyDescent="0.2">
      <c r="K513" s="79"/>
    </row>
    <row r="514" spans="11:11" x14ac:dyDescent="0.2">
      <c r="K514" s="79"/>
    </row>
    <row r="515" spans="11:11" x14ac:dyDescent="0.2">
      <c r="K515" s="79"/>
    </row>
    <row r="516" spans="11:11" x14ac:dyDescent="0.2">
      <c r="K516" s="79"/>
    </row>
    <row r="517" spans="11:11" x14ac:dyDescent="0.2">
      <c r="K517" s="79"/>
    </row>
    <row r="518" spans="11:11" x14ac:dyDescent="0.2">
      <c r="K518" s="79"/>
    </row>
    <row r="519" spans="11:11" x14ac:dyDescent="0.2">
      <c r="K519" s="79"/>
    </row>
    <row r="520" spans="11:11" x14ac:dyDescent="0.2">
      <c r="K520" s="79"/>
    </row>
    <row r="521" spans="11:11" x14ac:dyDescent="0.2">
      <c r="K521" s="79"/>
    </row>
    <row r="522" spans="11:11" x14ac:dyDescent="0.2">
      <c r="K522" s="79"/>
    </row>
    <row r="523" spans="11:11" x14ac:dyDescent="0.2">
      <c r="K523" s="79"/>
    </row>
    <row r="524" spans="11:11" x14ac:dyDescent="0.2">
      <c r="K524" s="79"/>
    </row>
    <row r="525" spans="11:11" x14ac:dyDescent="0.2">
      <c r="K525" s="79"/>
    </row>
    <row r="526" spans="11:11" x14ac:dyDescent="0.2">
      <c r="K526" s="79"/>
    </row>
    <row r="527" spans="11:11" x14ac:dyDescent="0.2">
      <c r="K527" s="79"/>
    </row>
    <row r="528" spans="11:11" x14ac:dyDescent="0.2">
      <c r="K528" s="79"/>
    </row>
    <row r="529" spans="11:11" x14ac:dyDescent="0.2">
      <c r="K529" s="79"/>
    </row>
    <row r="530" spans="11:11" x14ac:dyDescent="0.2">
      <c r="K530" s="79"/>
    </row>
    <row r="531" spans="11:11" x14ac:dyDescent="0.2">
      <c r="K531" s="79"/>
    </row>
    <row r="532" spans="11:11" x14ac:dyDescent="0.2">
      <c r="K532" s="79"/>
    </row>
    <row r="533" spans="11:11" x14ac:dyDescent="0.2">
      <c r="K533" s="79"/>
    </row>
    <row r="534" spans="11:11" x14ac:dyDescent="0.2">
      <c r="K534" s="79"/>
    </row>
    <row r="535" spans="11:11" x14ac:dyDescent="0.2">
      <c r="K535" s="79"/>
    </row>
    <row r="536" spans="11:11" x14ac:dyDescent="0.2">
      <c r="K536" s="79"/>
    </row>
    <row r="537" spans="11:11" x14ac:dyDescent="0.2">
      <c r="K537" s="79"/>
    </row>
    <row r="538" spans="11:11" x14ac:dyDescent="0.2">
      <c r="K538" s="79"/>
    </row>
    <row r="539" spans="11:11" x14ac:dyDescent="0.2">
      <c r="K539" s="79"/>
    </row>
    <row r="540" spans="11:11" x14ac:dyDescent="0.2">
      <c r="K540" s="79"/>
    </row>
    <row r="541" spans="11:11" x14ac:dyDescent="0.2">
      <c r="K541" s="79"/>
    </row>
    <row r="542" spans="11:11" x14ac:dyDescent="0.2">
      <c r="K542" s="79"/>
    </row>
    <row r="543" spans="11:11" x14ac:dyDescent="0.2">
      <c r="K543" s="79"/>
    </row>
    <row r="544" spans="11:11" x14ac:dyDescent="0.2">
      <c r="K544" s="79"/>
    </row>
    <row r="545" spans="11:11" x14ac:dyDescent="0.2">
      <c r="K545" s="79"/>
    </row>
    <row r="546" spans="11:11" x14ac:dyDescent="0.2">
      <c r="K546" s="79"/>
    </row>
    <row r="547" spans="11:11" x14ac:dyDescent="0.2">
      <c r="K547" s="79"/>
    </row>
    <row r="548" spans="11:11" x14ac:dyDescent="0.2">
      <c r="K548" s="79"/>
    </row>
    <row r="549" spans="11:11" x14ac:dyDescent="0.2">
      <c r="K549" s="79"/>
    </row>
    <row r="550" spans="11:11" x14ac:dyDescent="0.2">
      <c r="K550" s="79"/>
    </row>
    <row r="551" spans="11:11" x14ac:dyDescent="0.2">
      <c r="K551" s="79"/>
    </row>
    <row r="552" spans="11:11" x14ac:dyDescent="0.2">
      <c r="K552" s="79"/>
    </row>
    <row r="553" spans="11:11" x14ac:dyDescent="0.2">
      <c r="K553" s="79"/>
    </row>
    <row r="554" spans="11:11" x14ac:dyDescent="0.2">
      <c r="K554" s="79"/>
    </row>
    <row r="555" spans="11:11" x14ac:dyDescent="0.2">
      <c r="K555" s="79"/>
    </row>
    <row r="556" spans="11:11" x14ac:dyDescent="0.2">
      <c r="K556" s="79"/>
    </row>
    <row r="557" spans="11:11" x14ac:dyDescent="0.2">
      <c r="K557" s="79"/>
    </row>
    <row r="558" spans="11:11" x14ac:dyDescent="0.2">
      <c r="K558" s="79"/>
    </row>
    <row r="559" spans="11:11" x14ac:dyDescent="0.2">
      <c r="K559" s="79"/>
    </row>
    <row r="560" spans="11:11" x14ac:dyDescent="0.2">
      <c r="K560" s="79"/>
    </row>
    <row r="561" spans="11:11" x14ac:dyDescent="0.2">
      <c r="K561" s="79"/>
    </row>
    <row r="562" spans="11:11" x14ac:dyDescent="0.2">
      <c r="K562" s="79"/>
    </row>
  </sheetData>
  <mergeCells count="9">
    <mergeCell ref="C14:G14"/>
    <mergeCell ref="K14:O14"/>
    <mergeCell ref="U14:Y14"/>
    <mergeCell ref="AC14:AG14"/>
    <mergeCell ref="H4:I4"/>
    <mergeCell ref="H5:I5"/>
    <mergeCell ref="H6:I6"/>
    <mergeCell ref="H7:I7"/>
    <mergeCell ref="H8:I8"/>
  </mergeCells>
  <conditionalFormatting sqref="C17:G17">
    <cfRule type="expression" dxfId="10" priority="2">
      <formula>$G17&lt;&gt;""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UpdateMyFunctions">
                <anchor moveWithCells="1" sizeWithCells="1">
                  <from>
                    <xdr:col>6</xdr:col>
                    <xdr:colOff>200025</xdr:colOff>
                    <xdr:row>8</xdr:row>
                    <xdr:rowOff>133350</xdr:rowOff>
                  </from>
                  <to>
                    <xdr:col>10</xdr:col>
                    <xdr:colOff>342900</xdr:colOff>
                    <xdr:row>10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U2003"/>
  <sheetViews>
    <sheetView workbookViewId="0">
      <selection activeCell="C12" sqref="C12"/>
    </sheetView>
  </sheetViews>
  <sheetFormatPr defaultRowHeight="12.75" x14ac:dyDescent="0.2"/>
  <cols>
    <col min="1" max="1" width="17.28515625" bestFit="1" customWidth="1"/>
    <col min="2" max="2" width="53.7109375" customWidth="1"/>
    <col min="3" max="3" width="18" bestFit="1" customWidth="1"/>
    <col min="7" max="7" width="18.85546875" bestFit="1" customWidth="1"/>
    <col min="8" max="8" width="12.140625" bestFit="1" customWidth="1"/>
    <col min="9" max="9" width="10.7109375" bestFit="1" customWidth="1"/>
    <col min="10" max="13" width="8.42578125" customWidth="1"/>
    <col min="14" max="14" width="9.140625" customWidth="1"/>
    <col min="15" max="15" width="8.42578125" customWidth="1"/>
    <col min="16" max="16" width="20.42578125" bestFit="1" customWidth="1"/>
    <col min="17" max="17" width="42.5703125" bestFit="1" customWidth="1"/>
    <col min="18" max="18" width="17" bestFit="1" customWidth="1"/>
    <col min="19" max="19" width="12.7109375" customWidth="1"/>
    <col min="20" max="20" width="15.7109375" bestFit="1" customWidth="1"/>
  </cols>
  <sheetData>
    <row r="1" spans="1:21" x14ac:dyDescent="0.2">
      <c r="B1" s="18" t="s">
        <v>9</v>
      </c>
    </row>
    <row r="2" spans="1:21" x14ac:dyDescent="0.2">
      <c r="B2" s="18" t="str">
        <f ca="1">_xll.RSearch("OPTION","Search:"&amp;B6&amp;" CallPutOption:"&amp;B5&amp;" StrikePrice:"&amp;B7*(1-B8)&amp;"=&lt;"&amp;B7*(1+B8)&amp;" ExpiryDate:"&amp;B10&amp;"=&lt;"&amp;B11,"NBROWS:2000 SORT:ExpiryDate:A  SORT:StrikePrice:A",,G4)</f>
        <v>Updated at 14:13:01</v>
      </c>
      <c r="C2" s="18" t="str">
        <f>_xll.RData(G4:G1693,H3:L3,,,,H4)</f>
        <v>Updated at 14:11:17</v>
      </c>
    </row>
    <row r="3" spans="1:21" x14ac:dyDescent="0.2">
      <c r="B3" s="18"/>
      <c r="H3" t="s">
        <v>10</v>
      </c>
      <c r="P3" s="18"/>
      <c r="S3" t="str">
        <f>_xll.TR(R6:R26,S5:T5,,S6)</f>
        <v>Updated at 14:11:15</v>
      </c>
    </row>
    <row r="4" spans="1:21" x14ac:dyDescent="0.2">
      <c r="B4" s="18"/>
      <c r="G4" s="18" t="s">
        <v>99</v>
      </c>
      <c r="H4" s="19">
        <v>43019</v>
      </c>
      <c r="I4" s="18"/>
      <c r="J4" s="18"/>
      <c r="K4" s="18"/>
      <c r="L4" s="18"/>
      <c r="M4" s="18"/>
      <c r="N4" s="18"/>
      <c r="P4" s="18"/>
      <c r="S4" s="19"/>
      <c r="T4" s="70"/>
    </row>
    <row r="5" spans="1:21" x14ac:dyDescent="0.2">
      <c r="A5" t="s">
        <v>11</v>
      </c>
      <c r="B5" s="21" t="s">
        <v>12</v>
      </c>
      <c r="G5" s="18" t="s">
        <v>100</v>
      </c>
      <c r="H5" s="19">
        <v>43019</v>
      </c>
      <c r="I5" s="18"/>
      <c r="J5" s="18"/>
      <c r="K5" s="18"/>
      <c r="L5" s="18"/>
      <c r="M5" s="18"/>
      <c r="N5" s="18"/>
      <c r="P5" s="21" t="str">
        <f>_xll.RSearch("BOND",P6:Q10,"NBROWS:2000 SORT:MaturityDate:A",,R6)</f>
        <v>Updated at 14:11:11</v>
      </c>
      <c r="S5" s="72" t="s">
        <v>55</v>
      </c>
      <c r="T5" s="71" t="s">
        <v>56</v>
      </c>
      <c r="U5" s="22"/>
    </row>
    <row r="6" spans="1:21" x14ac:dyDescent="0.2">
      <c r="B6" s="21" t="s">
        <v>14</v>
      </c>
      <c r="G6" s="18" t="s">
        <v>101</v>
      </c>
      <c r="H6" s="19">
        <v>43019</v>
      </c>
      <c r="I6" s="18"/>
      <c r="J6" s="18"/>
      <c r="K6" s="18"/>
      <c r="L6" s="18"/>
      <c r="M6" s="18"/>
      <c r="N6" s="18"/>
      <c r="P6" s="68" t="s">
        <v>50</v>
      </c>
      <c r="Q6" s="71" t="s">
        <v>51</v>
      </c>
      <c r="R6" s="18" t="s">
        <v>58</v>
      </c>
      <c r="S6" s="19">
        <v>43020</v>
      </c>
      <c r="T6" s="73">
        <v>1.024219</v>
      </c>
      <c r="U6" s="22"/>
    </row>
    <row r="7" spans="1:21" x14ac:dyDescent="0.2">
      <c r="A7" t="s">
        <v>15</v>
      </c>
      <c r="B7" s="21">
        <f>_xll.RtGet(,".SPX","CF_LAST")</f>
        <v>2551.9500000000003</v>
      </c>
      <c r="G7" s="18" t="s">
        <v>102</v>
      </c>
      <c r="H7" s="19">
        <v>43019</v>
      </c>
      <c r="I7" s="18"/>
      <c r="J7" s="18"/>
      <c r="K7" s="18"/>
      <c r="L7" s="18"/>
      <c r="M7" s="18"/>
      <c r="N7" s="85">
        <f t="array" aca="1" ref="N7" ca="1">INDEX(S6:S39,MATCH(MIN(ABS(S6:S39-C12)),ABS(S6:S39-C12),))</f>
        <v>43048</v>
      </c>
      <c r="P7" s="68" t="s">
        <v>52</v>
      </c>
      <c r="Q7" s="76" t="s">
        <v>61</v>
      </c>
      <c r="R7" s="18" t="s">
        <v>59</v>
      </c>
      <c r="S7" s="19">
        <v>43027</v>
      </c>
      <c r="T7" s="73">
        <v>1.0243739999999999</v>
      </c>
      <c r="U7" s="22"/>
    </row>
    <row r="8" spans="1:21" x14ac:dyDescent="0.2">
      <c r="A8" t="s">
        <v>16</v>
      </c>
      <c r="B8" s="23">
        <v>5.0000000000000001E-3</v>
      </c>
      <c r="G8" s="18" t="s">
        <v>103</v>
      </c>
      <c r="H8" s="19">
        <v>43019</v>
      </c>
      <c r="I8" s="18"/>
      <c r="J8" s="18"/>
      <c r="K8" s="18"/>
      <c r="L8" s="18"/>
      <c r="M8" s="18"/>
      <c r="N8" s="85">
        <f t="array" aca="1" ref="N8" ca="1">INDEX(S6:S39,MATCH(MIN(ABS(S6:S39-C13)),ABS(S6:S39-C13),))</f>
        <v>43055</v>
      </c>
      <c r="P8" s="83" t="s">
        <v>62</v>
      </c>
      <c r="Q8" s="71" t="s">
        <v>63</v>
      </c>
      <c r="R8" s="18" t="s">
        <v>60</v>
      </c>
      <c r="S8" s="19">
        <v>43034</v>
      </c>
      <c r="T8" s="73">
        <v>1.024548</v>
      </c>
    </row>
    <row r="9" spans="1:21" x14ac:dyDescent="0.2">
      <c r="B9" s="18"/>
      <c r="G9" s="18" t="s">
        <v>104</v>
      </c>
      <c r="H9" s="19">
        <v>43021</v>
      </c>
      <c r="I9" s="18"/>
      <c r="J9" s="18"/>
      <c r="K9" s="18"/>
      <c r="L9" s="18"/>
      <c r="M9" s="18"/>
      <c r="N9" s="18"/>
      <c r="P9" s="22" t="s">
        <v>53</v>
      </c>
      <c r="Q9" s="69" t="s">
        <v>54</v>
      </c>
      <c r="R9" s="18" t="s">
        <v>64</v>
      </c>
      <c r="S9" s="19">
        <v>43041</v>
      </c>
      <c r="T9" s="73">
        <v>1.019657</v>
      </c>
    </row>
    <row r="10" spans="1:21" x14ac:dyDescent="0.2">
      <c r="A10" t="s">
        <v>17</v>
      </c>
      <c r="B10" s="19">
        <f ca="1">TODAY()</f>
        <v>43019</v>
      </c>
      <c r="G10" s="18" t="s">
        <v>105</v>
      </c>
      <c r="H10" s="19">
        <v>43021</v>
      </c>
      <c r="I10" s="18"/>
      <c r="J10" s="18"/>
      <c r="K10" s="18"/>
      <c r="L10" s="18"/>
      <c r="M10" s="18"/>
      <c r="N10" s="18"/>
      <c r="P10" s="84" t="s">
        <v>75</v>
      </c>
      <c r="Q10" s="71" t="s">
        <v>76</v>
      </c>
      <c r="R10" s="18" t="s">
        <v>65</v>
      </c>
      <c r="S10" s="19">
        <v>43048</v>
      </c>
      <c r="T10" s="73">
        <v>1.0350969999999999</v>
      </c>
    </row>
    <row r="11" spans="1:21" x14ac:dyDescent="0.2">
      <c r="A11" t="s">
        <v>18</v>
      </c>
      <c r="B11" s="19">
        <f ca="1">DATE(YEAR(B10),MONTH(B10),DAY(B10)+50)</f>
        <v>43069</v>
      </c>
      <c r="G11" s="18" t="s">
        <v>106</v>
      </c>
      <c r="H11" s="19">
        <v>43021</v>
      </c>
      <c r="I11" s="18"/>
      <c r="J11" s="18"/>
      <c r="K11" s="18"/>
      <c r="L11" s="18"/>
      <c r="M11" s="18"/>
      <c r="N11" s="18"/>
      <c r="P11" s="19"/>
      <c r="R11" s="18" t="s">
        <v>66</v>
      </c>
      <c r="S11" s="19">
        <v>43055</v>
      </c>
      <c r="T11" s="73">
        <v>1.004826</v>
      </c>
    </row>
    <row r="12" spans="1:21" x14ac:dyDescent="0.2">
      <c r="B12" s="19">
        <f ca="1">DATE(YEAR(B10),MONTH(B10),DAY(B10)+23)</f>
        <v>43042</v>
      </c>
      <c r="C12" s="81">
        <f t="array" aca="1" ref="C12" ca="1">MIN(IF($B$14:$B$29&gt;B12,B14:B29))</f>
        <v>43045</v>
      </c>
      <c r="G12" s="18" t="s">
        <v>107</v>
      </c>
      <c r="H12" s="19">
        <v>43021</v>
      </c>
      <c r="I12" s="18"/>
      <c r="J12" s="18"/>
      <c r="K12" s="18"/>
      <c r="L12" s="18"/>
      <c r="M12" s="18"/>
      <c r="N12" s="18"/>
      <c r="O12" s="18"/>
      <c r="R12" s="18" t="s">
        <v>67</v>
      </c>
      <c r="S12" s="19">
        <v>43063</v>
      </c>
      <c r="T12" s="73">
        <v>1.0253810000000001</v>
      </c>
    </row>
    <row r="13" spans="1:21" x14ac:dyDescent="0.2">
      <c r="B13" s="19">
        <f ca="1">DATE(YEAR(B10),MONTH(B10),DAY(B10)+37)</f>
        <v>43056</v>
      </c>
      <c r="C13" s="81">
        <f t="array" aca="1" ref="C13" ca="1">MAX(IF($B$14:$B$29&lt;B13,B14:B29))</f>
        <v>43052</v>
      </c>
      <c r="G13" s="18" t="s">
        <v>108</v>
      </c>
      <c r="H13" s="19">
        <v>43021</v>
      </c>
      <c r="I13" s="18"/>
      <c r="J13" s="18"/>
      <c r="K13" s="18"/>
      <c r="L13" s="18"/>
      <c r="M13" s="18"/>
      <c r="N13" s="18"/>
      <c r="O13" s="18"/>
      <c r="R13" s="18" t="s">
        <v>77</v>
      </c>
      <c r="S13" s="19">
        <v>43069</v>
      </c>
      <c r="T13" s="73">
        <v>1.0204679999999999</v>
      </c>
    </row>
    <row r="14" spans="1:21" x14ac:dyDescent="0.2">
      <c r="A14" t="s">
        <v>19</v>
      </c>
      <c r="B14" s="19">
        <f>MIN(H:H)</f>
        <v>43019</v>
      </c>
      <c r="D14">
        <f ca="1">B14-$B$10</f>
        <v>0</v>
      </c>
      <c r="G14" s="18" t="s">
        <v>109</v>
      </c>
      <c r="H14" s="19">
        <v>43024</v>
      </c>
      <c r="I14" s="18"/>
      <c r="J14" s="18"/>
      <c r="K14" s="18"/>
      <c r="L14" s="18"/>
      <c r="M14" s="18"/>
      <c r="N14" s="18"/>
      <c r="O14" s="18"/>
      <c r="R14" s="18" t="s">
        <v>68</v>
      </c>
      <c r="S14" s="19">
        <v>43076</v>
      </c>
      <c r="T14" s="73">
        <v>1.030842</v>
      </c>
    </row>
    <row r="15" spans="1:21" x14ac:dyDescent="0.2">
      <c r="A15" t="str">
        <f>IF(B15&gt;0,"Next +"&amp;C15,"")</f>
        <v>Next +1</v>
      </c>
      <c r="B15" s="19">
        <f t="array" ref="B15">MIN(IF($H$4:$H$400&gt;B14,$H$4:$H$400))</f>
        <v>43021</v>
      </c>
      <c r="C15">
        <f>IF(B15&gt;B14,1,"END RANGE")</f>
        <v>1</v>
      </c>
      <c r="D15">
        <f t="shared" ref="D15:D31" ca="1" si="0">B15-$B$10</f>
        <v>2</v>
      </c>
      <c r="G15" s="18" t="s">
        <v>110</v>
      </c>
      <c r="H15" s="19">
        <v>43024</v>
      </c>
      <c r="I15" s="18"/>
      <c r="J15" s="18"/>
      <c r="K15" s="18"/>
      <c r="L15" s="18"/>
      <c r="M15" s="18"/>
      <c r="N15" s="18"/>
      <c r="O15" s="18"/>
      <c r="R15" s="18" t="s">
        <v>78</v>
      </c>
      <c r="S15" s="19">
        <v>43083</v>
      </c>
      <c r="T15" s="73">
        <v>0.99034800000000001</v>
      </c>
    </row>
    <row r="16" spans="1:21" x14ac:dyDescent="0.2">
      <c r="A16" t="str">
        <f t="shared" ref="A16:A30" si="1">IF(B16&gt;0,"Next +"&amp;C16,"")</f>
        <v>Next +2</v>
      </c>
      <c r="B16" s="19">
        <f t="array" ref="B16">MIN(IF($H$4:$H$400&gt;B15,$H$4:$H$400))</f>
        <v>43024</v>
      </c>
      <c r="C16">
        <f>IF(B16&gt;B15,2,"END RANGE")</f>
        <v>2</v>
      </c>
      <c r="D16">
        <f t="shared" ca="1" si="0"/>
        <v>5</v>
      </c>
      <c r="G16" s="18" t="s">
        <v>111</v>
      </c>
      <c r="H16" s="19">
        <v>43024</v>
      </c>
      <c r="I16" s="18"/>
      <c r="J16" s="18"/>
      <c r="K16" s="18"/>
      <c r="L16" s="18"/>
      <c r="M16" s="18"/>
      <c r="N16" s="18"/>
      <c r="O16" s="18"/>
      <c r="R16" s="18" t="s">
        <v>79</v>
      </c>
      <c r="S16" s="19">
        <v>43090</v>
      </c>
      <c r="T16" s="73">
        <v>1.0058009999999999</v>
      </c>
    </row>
    <row r="17" spans="1:20" x14ac:dyDescent="0.2">
      <c r="A17" t="str">
        <f t="shared" si="1"/>
        <v>Next +3</v>
      </c>
      <c r="B17" s="19">
        <f t="array" ref="B17">MIN(IF($H$4:$H$400&gt;B16,$H$4:$H$400))</f>
        <v>43026</v>
      </c>
      <c r="C17">
        <f>IF(B17&gt;B16,3,"END RANGE")</f>
        <v>3</v>
      </c>
      <c r="D17">
        <f t="shared" ca="1" si="0"/>
        <v>7</v>
      </c>
      <c r="G17" s="18" t="s">
        <v>112</v>
      </c>
      <c r="H17" s="19">
        <v>43024</v>
      </c>
      <c r="I17" s="18"/>
      <c r="J17" s="18"/>
      <c r="K17" s="18"/>
      <c r="L17" s="18"/>
      <c r="M17" s="18"/>
      <c r="N17" s="18"/>
      <c r="O17" s="18"/>
      <c r="R17" s="18" t="s">
        <v>80</v>
      </c>
      <c r="S17" s="19">
        <v>43097</v>
      </c>
      <c r="T17" s="73">
        <v>1.0569230000000001</v>
      </c>
    </row>
    <row r="18" spans="1:20" x14ac:dyDescent="0.2">
      <c r="A18" t="str">
        <f t="shared" si="1"/>
        <v>Next +4</v>
      </c>
      <c r="B18" s="19">
        <f t="array" ref="B18">MIN(IF($H$4:$H$400&gt;B17,$H$4:$H$400))</f>
        <v>43028</v>
      </c>
      <c r="C18">
        <f>IF(B18&gt;B17,4,"END RANGE")</f>
        <v>4</v>
      </c>
      <c r="D18">
        <f t="shared" ca="1" si="0"/>
        <v>9</v>
      </c>
      <c r="G18" s="18" t="s">
        <v>113</v>
      </c>
      <c r="H18" s="19">
        <v>43024</v>
      </c>
      <c r="I18" s="18"/>
      <c r="J18" s="18"/>
      <c r="K18" s="18"/>
      <c r="L18" s="18"/>
      <c r="M18" s="18"/>
      <c r="N18" s="18"/>
      <c r="O18" s="18"/>
      <c r="R18" s="18" t="s">
        <v>81</v>
      </c>
      <c r="S18" s="19">
        <v>43102</v>
      </c>
      <c r="T18" s="73">
        <v>1.077404</v>
      </c>
    </row>
    <row r="19" spans="1:20" x14ac:dyDescent="0.2">
      <c r="A19" t="str">
        <f t="shared" si="1"/>
        <v>Next +5</v>
      </c>
      <c r="B19" s="19">
        <f t="array" ref="B19">MIN(IF($H$4:$H$400&gt;B18,$H$4:$H$400))</f>
        <v>43031</v>
      </c>
      <c r="C19">
        <f>IF(B19&gt;B18,5,"END RANGE")</f>
        <v>5</v>
      </c>
      <c r="D19">
        <f t="shared" ca="1" si="0"/>
        <v>12</v>
      </c>
      <c r="G19" s="18" t="s">
        <v>114</v>
      </c>
      <c r="H19" s="19">
        <v>43026</v>
      </c>
      <c r="I19" s="18"/>
      <c r="J19" s="18"/>
      <c r="K19" s="18"/>
      <c r="L19" s="18"/>
      <c r="M19" s="18"/>
      <c r="N19" s="18"/>
      <c r="O19" s="18"/>
      <c r="R19" s="18" t="s">
        <v>69</v>
      </c>
      <c r="S19" s="19">
        <v>43104</v>
      </c>
      <c r="T19" s="73">
        <v>1.077515</v>
      </c>
    </row>
    <row r="20" spans="1:20" x14ac:dyDescent="0.2">
      <c r="A20" t="str">
        <f t="shared" si="1"/>
        <v>Next +6</v>
      </c>
      <c r="B20" s="19">
        <f t="array" ref="B20">MIN(IF($H$4:$H$400&gt;B19,$H$4:$H$400))</f>
        <v>43033</v>
      </c>
      <c r="C20">
        <f>IF(B20&gt;B19,6,"END RANGE")</f>
        <v>6</v>
      </c>
      <c r="D20">
        <f t="shared" ca="1" si="0"/>
        <v>14</v>
      </c>
      <c r="G20" s="18" t="s">
        <v>115</v>
      </c>
      <c r="H20" s="19">
        <v>43026</v>
      </c>
      <c r="I20" s="18"/>
      <c r="J20" s="18"/>
      <c r="K20" s="18"/>
      <c r="L20" s="18"/>
      <c r="M20" s="18"/>
      <c r="N20" s="18"/>
      <c r="O20" s="18"/>
      <c r="R20" s="18" t="s">
        <v>82</v>
      </c>
      <c r="S20" s="19">
        <v>43111</v>
      </c>
      <c r="T20" s="73">
        <v>1.087934</v>
      </c>
    </row>
    <row r="21" spans="1:20" x14ac:dyDescent="0.2">
      <c r="A21" t="str">
        <f t="shared" si="1"/>
        <v>Next +7</v>
      </c>
      <c r="B21" s="19">
        <f t="array" ref="B21">MIN(IF($H$4:$H$400&gt;B20,$H$4:$H$400))</f>
        <v>43035</v>
      </c>
      <c r="C21">
        <f>IF(B21&gt;B20,7,"END RANGE")</f>
        <v>7</v>
      </c>
      <c r="D21">
        <f t="shared" ca="1" si="0"/>
        <v>16</v>
      </c>
      <c r="G21" s="18" t="s">
        <v>116</v>
      </c>
      <c r="H21" s="19">
        <v>43026</v>
      </c>
      <c r="I21" s="18"/>
      <c r="J21" s="18"/>
      <c r="K21" s="18"/>
      <c r="L21" s="18"/>
      <c r="M21" s="18"/>
      <c r="N21" s="18"/>
      <c r="O21" s="18"/>
      <c r="R21" s="18" t="s">
        <v>83</v>
      </c>
      <c r="S21" s="19">
        <v>43118</v>
      </c>
      <c r="T21" s="73">
        <v>1.067766</v>
      </c>
    </row>
    <row r="22" spans="1:20" x14ac:dyDescent="0.2">
      <c r="A22" t="str">
        <f t="shared" si="1"/>
        <v>Next +8</v>
      </c>
      <c r="B22" s="19">
        <f t="array" ref="B22">MIN(IF($H$4:$H$400&gt;B21,$H$4:$H$400))</f>
        <v>43038</v>
      </c>
      <c r="C22">
        <f>IF(B22&gt;B21,8,"END RANGE")</f>
        <v>8</v>
      </c>
      <c r="D22">
        <f t="shared" ca="1" si="0"/>
        <v>19</v>
      </c>
      <c r="G22" s="18" t="s">
        <v>117</v>
      </c>
      <c r="H22" s="19">
        <v>43026</v>
      </c>
      <c r="I22" s="18"/>
      <c r="J22" s="18"/>
      <c r="K22" s="18"/>
      <c r="L22" s="18"/>
      <c r="M22" s="18"/>
      <c r="N22" s="18"/>
      <c r="O22" s="18"/>
      <c r="R22" s="18" t="s">
        <v>84</v>
      </c>
      <c r="S22" s="19">
        <v>43125</v>
      </c>
      <c r="T22" s="73">
        <v>1.093493</v>
      </c>
    </row>
    <row r="23" spans="1:20" x14ac:dyDescent="0.2">
      <c r="A23" t="str">
        <f t="shared" si="1"/>
        <v>Next +9</v>
      </c>
      <c r="B23" s="19">
        <f t="array" ref="B23">MIN(IF($H$4:$H$400&gt;B22,$H$4:$H$400))</f>
        <v>43039</v>
      </c>
      <c r="C23">
        <f>IF(B23&gt;B22,9,"END RANGE")</f>
        <v>9</v>
      </c>
      <c r="D23">
        <f t="shared" ca="1" si="0"/>
        <v>20</v>
      </c>
      <c r="G23" s="18" t="s">
        <v>118</v>
      </c>
      <c r="H23" s="19">
        <v>43026</v>
      </c>
      <c r="I23" s="18"/>
      <c r="J23" s="18"/>
      <c r="K23" s="18"/>
      <c r="L23" s="18"/>
      <c r="M23" s="18"/>
      <c r="N23" s="18"/>
      <c r="O23" s="18"/>
      <c r="R23" s="18" t="s">
        <v>70</v>
      </c>
      <c r="S23" s="19">
        <v>43132</v>
      </c>
      <c r="T23" s="73">
        <v>1.1039350000000001</v>
      </c>
    </row>
    <row r="24" spans="1:20" x14ac:dyDescent="0.2">
      <c r="A24" t="str">
        <f t="shared" si="1"/>
        <v>Next +10</v>
      </c>
      <c r="B24" s="82">
        <f t="array" ref="B24">MIN(IF($H$4:$H$400&gt;B23,$H$4:$H$400))</f>
        <v>43040</v>
      </c>
      <c r="C24">
        <f>IF(B24&gt;B23,10,"END RANGE")</f>
        <v>10</v>
      </c>
      <c r="D24">
        <f t="shared" ca="1" si="0"/>
        <v>21</v>
      </c>
      <c r="G24" s="18" t="s">
        <v>119</v>
      </c>
      <c r="H24" s="19">
        <v>43028</v>
      </c>
      <c r="I24" s="18"/>
      <c r="J24" s="18"/>
      <c r="K24" s="18"/>
      <c r="L24" s="18"/>
      <c r="M24" s="18"/>
      <c r="N24" s="18"/>
      <c r="O24" s="18"/>
      <c r="R24" s="18" t="s">
        <v>85</v>
      </c>
      <c r="S24" s="19">
        <v>43139</v>
      </c>
      <c r="T24" s="73">
        <v>1.1143829999999999</v>
      </c>
    </row>
    <row r="25" spans="1:20" x14ac:dyDescent="0.2">
      <c r="A25" t="str">
        <f t="shared" si="1"/>
        <v>Next +11</v>
      </c>
      <c r="B25" s="19">
        <f t="array" ref="B25">MIN(IF($H$4:$H$400&gt;B24,$H$4:$H$400))</f>
        <v>43042</v>
      </c>
      <c r="C25">
        <f>IF(B25&gt;B24,11,"END RANGE")</f>
        <v>11</v>
      </c>
      <c r="D25">
        <f t="shared" ca="1" si="0"/>
        <v>23</v>
      </c>
      <c r="G25" s="18" t="s">
        <v>120</v>
      </c>
      <c r="H25" s="19">
        <v>43028</v>
      </c>
      <c r="I25" s="18"/>
      <c r="J25" s="18"/>
      <c r="K25" s="18"/>
      <c r="L25" s="18"/>
      <c r="M25" s="18"/>
      <c r="N25" s="18"/>
      <c r="O25" s="18"/>
      <c r="R25" s="18" t="s">
        <v>86</v>
      </c>
      <c r="S25" s="19">
        <v>43146</v>
      </c>
      <c r="T25" s="73">
        <v>1.114625</v>
      </c>
    </row>
    <row r="26" spans="1:20" x14ac:dyDescent="0.2">
      <c r="A26" t="str">
        <f t="shared" si="1"/>
        <v>Next +12</v>
      </c>
      <c r="B26" s="19">
        <f t="array" ref="B26">MIN(IF($H$4:$H$400&gt;B25,$H$4:$H$400))</f>
        <v>43045</v>
      </c>
      <c r="C26">
        <f>IF(B26&gt;B25,12,"END RANGE")</f>
        <v>12</v>
      </c>
      <c r="D26">
        <f t="shared" ca="1" si="0"/>
        <v>26</v>
      </c>
      <c r="G26" s="18" t="s">
        <v>121</v>
      </c>
      <c r="H26" s="19">
        <v>43028</v>
      </c>
      <c r="I26" s="18"/>
      <c r="J26" s="18"/>
      <c r="K26" s="18"/>
      <c r="L26" s="18"/>
      <c r="M26" s="18"/>
      <c r="N26" s="18"/>
      <c r="O26" s="18"/>
      <c r="R26" s="18" t="s">
        <v>87</v>
      </c>
      <c r="S26" s="19">
        <v>43153</v>
      </c>
      <c r="T26" s="73">
        <v>1.1250880000000001</v>
      </c>
    </row>
    <row r="27" spans="1:20" x14ac:dyDescent="0.2">
      <c r="A27" t="str">
        <f t="shared" si="1"/>
        <v>Next +13</v>
      </c>
      <c r="B27" s="82">
        <f t="array" ref="B27">MIN(IF($H$4:$H$400&gt;B26,$H$4:$H$400))</f>
        <v>43047</v>
      </c>
      <c r="C27">
        <f>IF(B27&gt;B26,13,"END RANGE")</f>
        <v>13</v>
      </c>
      <c r="D27">
        <f t="shared" ca="1" si="0"/>
        <v>28</v>
      </c>
      <c r="G27" s="18" t="s">
        <v>122</v>
      </c>
      <c r="H27" s="19">
        <v>43028</v>
      </c>
      <c r="I27" s="18"/>
      <c r="J27" s="18"/>
      <c r="K27" s="18"/>
      <c r="L27" s="18"/>
      <c r="M27" s="18"/>
      <c r="N27" s="18"/>
      <c r="O27" s="18"/>
      <c r="R27" s="18" t="s">
        <v>71</v>
      </c>
      <c r="S27" s="18"/>
      <c r="T27" s="19"/>
    </row>
    <row r="28" spans="1:20" x14ac:dyDescent="0.2">
      <c r="A28" t="str">
        <f t="shared" si="1"/>
        <v>Next +14</v>
      </c>
      <c r="B28" s="19">
        <f t="array" ref="B28">MIN(IF($H$4:$H$400&gt;B27,$H$4:$H$400))</f>
        <v>43049</v>
      </c>
      <c r="C28">
        <f>IF(B28&gt;B27,14,"END RANGE")</f>
        <v>14</v>
      </c>
      <c r="D28">
        <f t="shared" ca="1" si="0"/>
        <v>30</v>
      </c>
      <c r="G28" s="18" t="s">
        <v>123</v>
      </c>
      <c r="H28" s="19">
        <v>43028</v>
      </c>
      <c r="I28" s="18"/>
      <c r="J28" s="18"/>
      <c r="K28" s="18"/>
      <c r="L28" s="18"/>
      <c r="M28" s="18"/>
      <c r="N28" s="18"/>
      <c r="O28" s="18"/>
      <c r="R28" s="18" t="s">
        <v>88</v>
      </c>
      <c r="S28" s="18"/>
      <c r="T28" s="19"/>
    </row>
    <row r="29" spans="1:20" x14ac:dyDescent="0.2">
      <c r="A29" t="str">
        <f t="shared" si="1"/>
        <v>Next +13</v>
      </c>
      <c r="B29" s="19">
        <f t="array" ref="B29">MIN(IF($H$4:$H$400&gt;B28,$H$4:$H$400))</f>
        <v>43052</v>
      </c>
      <c r="C29">
        <f>IF(B29&gt;B28,13,"END RANGE")</f>
        <v>13</v>
      </c>
      <c r="D29">
        <f t="shared" ca="1" si="0"/>
        <v>33</v>
      </c>
      <c r="G29" s="18" t="s">
        <v>124</v>
      </c>
      <c r="H29" s="19">
        <v>43028</v>
      </c>
      <c r="I29" s="18"/>
      <c r="J29" s="18"/>
      <c r="K29" s="18"/>
      <c r="L29" s="18"/>
      <c r="M29" s="18"/>
      <c r="N29" s="18"/>
      <c r="O29" s="18"/>
      <c r="R29" s="18" t="s">
        <v>89</v>
      </c>
      <c r="S29" s="18"/>
      <c r="T29" s="19"/>
    </row>
    <row r="30" spans="1:20" x14ac:dyDescent="0.2">
      <c r="A30" t="str">
        <f t="shared" si="1"/>
        <v>Next +14</v>
      </c>
      <c r="B30" s="19">
        <f t="array" ref="B30">MIN(IF($H$4:$H$400&gt;B29,$H$4:$H$400))</f>
        <v>43054</v>
      </c>
      <c r="C30">
        <f>IF(B30&gt;B29,14,"END RANGE")</f>
        <v>14</v>
      </c>
      <c r="D30">
        <f t="shared" ca="1" si="0"/>
        <v>35</v>
      </c>
      <c r="G30" s="18" t="s">
        <v>125</v>
      </c>
      <c r="H30" s="19">
        <v>43028</v>
      </c>
      <c r="I30" s="18"/>
      <c r="J30" s="18"/>
      <c r="K30" s="18"/>
      <c r="L30" s="18"/>
      <c r="M30" s="18"/>
      <c r="N30" s="18"/>
      <c r="O30" s="18"/>
      <c r="R30" s="18" t="s">
        <v>90</v>
      </c>
      <c r="S30" s="18"/>
      <c r="T30" s="19"/>
    </row>
    <row r="31" spans="1:20" x14ac:dyDescent="0.2">
      <c r="A31" t="str">
        <f t="shared" ref="A31" si="2">IF(B31&gt;0,"Next +"&amp;C31,"")</f>
        <v>Next +15</v>
      </c>
      <c r="B31" s="19">
        <f t="array" ref="B31">MIN(IF($H$4:$H$400&gt;B30,$H$4:$H$400))</f>
        <v>43056</v>
      </c>
      <c r="C31">
        <f>IF(B31&gt;B30,15,"END RANGE")</f>
        <v>15</v>
      </c>
      <c r="D31">
        <f t="shared" ca="1" si="0"/>
        <v>37</v>
      </c>
      <c r="G31" s="18" t="s">
        <v>126</v>
      </c>
      <c r="H31" s="19">
        <v>43028</v>
      </c>
      <c r="I31" s="18"/>
      <c r="J31" s="18"/>
      <c r="K31" s="18"/>
      <c r="L31" s="18"/>
      <c r="M31" s="18"/>
      <c r="N31" s="18"/>
      <c r="O31" s="18"/>
      <c r="R31" s="18" t="s">
        <v>72</v>
      </c>
      <c r="S31" s="18"/>
      <c r="T31" s="19"/>
    </row>
    <row r="32" spans="1:20" x14ac:dyDescent="0.2">
      <c r="B32" s="18"/>
      <c r="G32" s="18" t="s">
        <v>127</v>
      </c>
      <c r="H32" s="19">
        <v>43028</v>
      </c>
      <c r="I32" s="18"/>
      <c r="J32" s="18"/>
      <c r="K32" s="18"/>
      <c r="L32" s="18"/>
      <c r="M32" s="18"/>
      <c r="N32" s="18"/>
      <c r="O32" s="18"/>
      <c r="R32" s="18" t="s">
        <v>91</v>
      </c>
      <c r="S32" s="18"/>
      <c r="T32" s="19"/>
    </row>
    <row r="33" spans="2:20" x14ac:dyDescent="0.2">
      <c r="B33" s="18"/>
      <c r="G33" s="18" t="s">
        <v>128</v>
      </c>
      <c r="H33" s="19">
        <v>43028</v>
      </c>
      <c r="I33" s="18"/>
      <c r="J33" s="18"/>
      <c r="K33" s="18"/>
      <c r="L33" s="18"/>
      <c r="M33" s="18"/>
      <c r="N33" s="18"/>
      <c r="O33" s="18"/>
      <c r="R33" s="18" t="s">
        <v>92</v>
      </c>
      <c r="S33" s="18"/>
      <c r="T33" s="19"/>
    </row>
    <row r="34" spans="2:20" x14ac:dyDescent="0.2">
      <c r="B34" s="18"/>
      <c r="G34" s="18" t="s">
        <v>129</v>
      </c>
      <c r="H34" s="19">
        <v>43031</v>
      </c>
      <c r="I34" s="18"/>
      <c r="J34" s="18"/>
      <c r="K34" s="18"/>
      <c r="L34" s="18"/>
      <c r="M34" s="18"/>
      <c r="N34" s="18"/>
      <c r="O34" s="18"/>
      <c r="R34" s="18" t="s">
        <v>93</v>
      </c>
      <c r="S34" s="18"/>
      <c r="T34" s="19"/>
    </row>
    <row r="35" spans="2:20" x14ac:dyDescent="0.2">
      <c r="B35" s="18"/>
      <c r="G35" s="18" t="s">
        <v>130</v>
      </c>
      <c r="H35" s="19">
        <v>43031</v>
      </c>
      <c r="I35" s="18"/>
      <c r="J35" s="18"/>
      <c r="K35" s="18"/>
      <c r="L35" s="18"/>
      <c r="M35" s="18"/>
      <c r="N35" s="18"/>
      <c r="O35" s="18"/>
      <c r="R35" s="18" t="s">
        <v>73</v>
      </c>
      <c r="S35" s="18"/>
      <c r="T35" s="19"/>
    </row>
    <row r="36" spans="2:20" x14ac:dyDescent="0.2">
      <c r="B36" s="18"/>
      <c r="G36" s="18" t="s">
        <v>131</v>
      </c>
      <c r="H36" s="19">
        <v>43031</v>
      </c>
      <c r="I36" s="18"/>
      <c r="J36" s="18"/>
      <c r="K36" s="18"/>
      <c r="L36" s="18"/>
      <c r="M36" s="18"/>
      <c r="N36" s="18"/>
      <c r="O36" s="18"/>
      <c r="R36" s="18" t="s">
        <v>74</v>
      </c>
      <c r="S36" s="18"/>
      <c r="T36" s="19"/>
    </row>
    <row r="37" spans="2:20" x14ac:dyDescent="0.2">
      <c r="B37" s="18"/>
      <c r="G37" s="18" t="s">
        <v>132</v>
      </c>
      <c r="H37" s="19">
        <v>43031</v>
      </c>
      <c r="I37" s="18"/>
      <c r="J37" s="18"/>
      <c r="K37" s="18"/>
      <c r="L37" s="18"/>
      <c r="M37" s="18"/>
      <c r="N37" s="18"/>
      <c r="O37" s="18"/>
      <c r="R37" s="18" t="s">
        <v>94</v>
      </c>
      <c r="S37" s="18"/>
      <c r="T37" s="19"/>
    </row>
    <row r="38" spans="2:20" x14ac:dyDescent="0.2">
      <c r="B38" s="18"/>
      <c r="G38" s="18" t="s">
        <v>133</v>
      </c>
      <c r="H38" s="19">
        <v>43031</v>
      </c>
      <c r="I38" s="18"/>
      <c r="J38" s="18"/>
      <c r="K38" s="18"/>
      <c r="L38" s="18"/>
      <c r="M38" s="18"/>
      <c r="N38" s="18"/>
      <c r="O38" s="18"/>
      <c r="R38" s="18" t="s">
        <v>95</v>
      </c>
      <c r="S38" s="18"/>
      <c r="T38" s="19"/>
    </row>
    <row r="39" spans="2:20" x14ac:dyDescent="0.2">
      <c r="B39" s="18"/>
      <c r="G39" s="18" t="s">
        <v>134</v>
      </c>
      <c r="H39" s="19">
        <v>43033</v>
      </c>
      <c r="I39" s="18"/>
      <c r="J39" s="18"/>
      <c r="K39" s="18"/>
      <c r="L39" s="18"/>
      <c r="M39" s="18"/>
      <c r="N39" s="18"/>
      <c r="O39" s="18"/>
      <c r="R39" s="18" t="s">
        <v>96</v>
      </c>
      <c r="S39" s="18"/>
      <c r="T39" s="19"/>
    </row>
    <row r="40" spans="2:20" x14ac:dyDescent="0.2">
      <c r="B40" s="18"/>
      <c r="G40" s="18" t="s">
        <v>135</v>
      </c>
      <c r="H40" s="19">
        <v>43033</v>
      </c>
      <c r="I40" s="18"/>
      <c r="J40" s="18"/>
      <c r="K40" s="18"/>
      <c r="L40" s="18"/>
      <c r="M40" s="18"/>
      <c r="N40" s="18"/>
      <c r="O40" s="18"/>
      <c r="R40" s="18" t="s">
        <v>97</v>
      </c>
      <c r="S40" s="18"/>
      <c r="T40" s="19"/>
    </row>
    <row r="41" spans="2:20" x14ac:dyDescent="0.2">
      <c r="B41" s="18"/>
      <c r="G41" s="18" t="s">
        <v>136</v>
      </c>
      <c r="H41" s="19">
        <v>43033</v>
      </c>
      <c r="I41" s="18"/>
      <c r="J41" s="18"/>
      <c r="K41" s="18"/>
      <c r="L41" s="18"/>
      <c r="M41" s="18"/>
      <c r="N41" s="18"/>
      <c r="O41" s="18"/>
      <c r="R41" s="18" t="s">
        <v>98</v>
      </c>
      <c r="S41" s="18"/>
      <c r="T41" s="19"/>
    </row>
    <row r="42" spans="2:20" x14ac:dyDescent="0.2">
      <c r="B42" s="18"/>
      <c r="G42" s="18" t="s">
        <v>137</v>
      </c>
      <c r="H42" s="19">
        <v>43033</v>
      </c>
      <c r="I42" s="18"/>
      <c r="J42" s="18"/>
      <c r="K42" s="18"/>
      <c r="L42" s="18"/>
      <c r="M42" s="18"/>
      <c r="N42" s="18"/>
      <c r="O42" s="18"/>
      <c r="R42" s="18"/>
      <c r="S42" s="18"/>
      <c r="T42" s="19"/>
    </row>
    <row r="43" spans="2:20" x14ac:dyDescent="0.2">
      <c r="B43" s="18"/>
      <c r="G43" s="18" t="s">
        <v>138</v>
      </c>
      <c r="H43" s="19">
        <v>43033</v>
      </c>
      <c r="I43" s="18"/>
      <c r="J43" s="18"/>
      <c r="K43" s="18"/>
      <c r="L43" s="18"/>
      <c r="M43" s="18"/>
      <c r="N43" s="18"/>
      <c r="O43" s="18"/>
      <c r="R43" s="18"/>
      <c r="S43" s="18"/>
      <c r="T43" s="19"/>
    </row>
    <row r="44" spans="2:20" x14ac:dyDescent="0.2">
      <c r="B44" s="18"/>
      <c r="G44" s="18" t="s">
        <v>139</v>
      </c>
      <c r="H44" s="19">
        <v>43035</v>
      </c>
      <c r="I44" s="18"/>
      <c r="J44" s="18"/>
      <c r="K44" s="18"/>
      <c r="L44" s="18"/>
      <c r="M44" s="18"/>
      <c r="N44" s="18"/>
      <c r="O44" s="18"/>
      <c r="R44" s="18"/>
      <c r="S44" s="18"/>
      <c r="T44" s="19"/>
    </row>
    <row r="45" spans="2:20" x14ac:dyDescent="0.2">
      <c r="B45" s="18"/>
      <c r="G45" s="18" t="s">
        <v>140</v>
      </c>
      <c r="H45" s="19">
        <v>43035</v>
      </c>
      <c r="I45" s="18"/>
      <c r="J45" s="18"/>
      <c r="K45" s="18"/>
      <c r="L45" s="18"/>
      <c r="M45" s="18"/>
      <c r="N45" s="18"/>
      <c r="O45" s="18"/>
      <c r="R45" s="18"/>
      <c r="S45" s="18"/>
      <c r="T45" s="19"/>
    </row>
    <row r="46" spans="2:20" x14ac:dyDescent="0.2">
      <c r="B46" s="18"/>
      <c r="G46" s="18" t="s">
        <v>141</v>
      </c>
      <c r="H46" s="19">
        <v>43035</v>
      </c>
      <c r="I46" s="18"/>
      <c r="J46" s="18"/>
      <c r="K46" s="18"/>
      <c r="L46" s="18"/>
      <c r="M46" s="18"/>
      <c r="N46" s="18"/>
      <c r="O46" s="18"/>
      <c r="R46" s="18"/>
      <c r="S46" s="18"/>
      <c r="T46" s="19"/>
    </row>
    <row r="47" spans="2:20" x14ac:dyDescent="0.2">
      <c r="B47" s="18"/>
      <c r="G47" s="18" t="s">
        <v>142</v>
      </c>
      <c r="H47" s="19">
        <v>43035</v>
      </c>
      <c r="I47" s="18"/>
      <c r="J47" s="18"/>
      <c r="K47" s="18"/>
      <c r="L47" s="18"/>
      <c r="M47" s="18"/>
      <c r="N47" s="18"/>
      <c r="O47" s="18"/>
      <c r="R47" s="18"/>
      <c r="S47" s="18"/>
      <c r="T47" s="19"/>
    </row>
    <row r="48" spans="2:20" x14ac:dyDescent="0.2">
      <c r="B48" s="18"/>
      <c r="G48" s="18" t="s">
        <v>143</v>
      </c>
      <c r="H48" s="19">
        <v>43035</v>
      </c>
      <c r="I48" s="18"/>
      <c r="J48" s="18"/>
      <c r="K48" s="18"/>
      <c r="L48" s="18"/>
      <c r="M48" s="18"/>
      <c r="N48" s="18"/>
      <c r="O48" s="18"/>
      <c r="R48" s="18"/>
      <c r="S48" s="18"/>
      <c r="T48" s="19"/>
    </row>
    <row r="49" spans="2:20" x14ac:dyDescent="0.2">
      <c r="B49" s="18"/>
      <c r="G49" s="18" t="s">
        <v>144</v>
      </c>
      <c r="H49" s="19">
        <v>43038</v>
      </c>
      <c r="I49" s="18"/>
      <c r="J49" s="18"/>
      <c r="K49" s="18"/>
      <c r="L49" s="18"/>
      <c r="M49" s="18"/>
      <c r="N49" s="18"/>
      <c r="O49" s="18"/>
      <c r="R49" s="18"/>
      <c r="S49" s="18"/>
      <c r="T49" s="19"/>
    </row>
    <row r="50" spans="2:20" x14ac:dyDescent="0.2">
      <c r="B50" s="18"/>
      <c r="G50" s="18" t="s">
        <v>145</v>
      </c>
      <c r="H50" s="19">
        <v>43038</v>
      </c>
      <c r="I50" s="18"/>
      <c r="J50" s="18"/>
      <c r="K50" s="18"/>
      <c r="L50" s="18"/>
      <c r="M50" s="18"/>
      <c r="N50" s="18"/>
      <c r="O50" s="18"/>
      <c r="R50" s="18"/>
      <c r="S50" s="18"/>
      <c r="T50" s="19"/>
    </row>
    <row r="51" spans="2:20" x14ac:dyDescent="0.2">
      <c r="B51" s="18"/>
      <c r="G51" s="18" t="s">
        <v>146</v>
      </c>
      <c r="H51" s="19">
        <v>43038</v>
      </c>
      <c r="I51" s="18"/>
      <c r="J51" s="18"/>
      <c r="K51" s="18"/>
      <c r="L51" s="18"/>
      <c r="M51" s="18"/>
      <c r="N51" s="18"/>
      <c r="O51" s="18"/>
      <c r="R51" s="18"/>
      <c r="S51" s="18"/>
      <c r="T51" s="19"/>
    </row>
    <row r="52" spans="2:20" x14ac:dyDescent="0.2">
      <c r="B52" s="18"/>
      <c r="G52" s="18" t="s">
        <v>147</v>
      </c>
      <c r="H52" s="19">
        <v>43038</v>
      </c>
      <c r="I52" s="18"/>
      <c r="J52" s="18"/>
      <c r="K52" s="18"/>
      <c r="L52" s="18"/>
      <c r="M52" s="18"/>
      <c r="N52" s="18"/>
      <c r="O52" s="18"/>
      <c r="R52" s="18"/>
      <c r="S52" s="18"/>
      <c r="T52" s="19"/>
    </row>
    <row r="53" spans="2:20" x14ac:dyDescent="0.2">
      <c r="B53" s="18"/>
      <c r="G53" s="18" t="s">
        <v>148</v>
      </c>
      <c r="H53" s="19">
        <v>43038</v>
      </c>
      <c r="I53" s="18"/>
      <c r="J53" s="18"/>
      <c r="K53" s="18"/>
      <c r="L53" s="18"/>
      <c r="M53" s="18"/>
      <c r="N53" s="18"/>
      <c r="O53" s="18"/>
      <c r="R53" s="18"/>
      <c r="S53" s="18"/>
      <c r="T53" s="19"/>
    </row>
    <row r="54" spans="2:20" x14ac:dyDescent="0.2">
      <c r="B54" s="18"/>
      <c r="G54" s="18" t="s">
        <v>149</v>
      </c>
      <c r="H54" s="19">
        <v>43039</v>
      </c>
      <c r="I54" s="18"/>
      <c r="J54" s="18"/>
      <c r="K54" s="18"/>
      <c r="L54" s="18"/>
      <c r="M54" s="18"/>
      <c r="N54" s="18"/>
      <c r="O54" s="18"/>
      <c r="R54" s="18"/>
      <c r="S54" s="18"/>
      <c r="T54" s="19"/>
    </row>
    <row r="55" spans="2:20" x14ac:dyDescent="0.2">
      <c r="B55" s="18"/>
      <c r="G55" s="18" t="s">
        <v>150</v>
      </c>
      <c r="H55" s="19">
        <v>43039</v>
      </c>
      <c r="I55" s="18"/>
      <c r="J55" s="18"/>
      <c r="K55" s="18"/>
      <c r="L55" s="18"/>
      <c r="M55" s="18"/>
      <c r="N55" s="18"/>
      <c r="O55" s="18"/>
      <c r="R55" s="18"/>
      <c r="S55" s="18"/>
      <c r="T55" s="19"/>
    </row>
    <row r="56" spans="2:20" x14ac:dyDescent="0.2">
      <c r="B56" s="18"/>
      <c r="G56" s="18" t="s">
        <v>151</v>
      </c>
      <c r="H56" s="19">
        <v>43039</v>
      </c>
      <c r="I56" s="18"/>
      <c r="J56" s="18"/>
      <c r="K56" s="18"/>
      <c r="L56" s="18"/>
      <c r="M56" s="18"/>
      <c r="N56" s="18"/>
      <c r="O56" s="18"/>
      <c r="R56" s="18"/>
      <c r="S56" s="18"/>
      <c r="T56" s="19"/>
    </row>
    <row r="57" spans="2:20" x14ac:dyDescent="0.2">
      <c r="B57" s="18"/>
      <c r="G57" s="18" t="s">
        <v>152</v>
      </c>
      <c r="H57" s="19">
        <v>43039</v>
      </c>
      <c r="I57" s="18"/>
      <c r="J57" s="18"/>
      <c r="K57" s="18"/>
      <c r="L57" s="18"/>
      <c r="M57" s="18"/>
      <c r="N57" s="18"/>
      <c r="O57" s="18"/>
      <c r="R57" s="18"/>
      <c r="S57" s="18"/>
      <c r="T57" s="19"/>
    </row>
    <row r="58" spans="2:20" x14ac:dyDescent="0.2">
      <c r="B58" s="18"/>
      <c r="G58" s="18" t="s">
        <v>153</v>
      </c>
      <c r="H58" s="19">
        <v>43039</v>
      </c>
      <c r="I58" s="18"/>
      <c r="J58" s="18"/>
      <c r="K58" s="18"/>
      <c r="L58" s="18"/>
      <c r="M58" s="18"/>
      <c r="N58" s="18"/>
      <c r="O58" s="18"/>
      <c r="R58" s="18"/>
      <c r="S58" s="18"/>
      <c r="T58" s="19"/>
    </row>
    <row r="59" spans="2:20" x14ac:dyDescent="0.2">
      <c r="B59" s="18"/>
      <c r="G59" s="18" t="s">
        <v>154</v>
      </c>
      <c r="H59" s="19">
        <v>43040</v>
      </c>
      <c r="I59" s="18"/>
      <c r="J59" s="18"/>
      <c r="K59" s="18"/>
      <c r="L59" s="18"/>
      <c r="M59" s="18"/>
      <c r="N59" s="18"/>
      <c r="O59" s="18"/>
      <c r="R59" s="18"/>
      <c r="S59" s="18"/>
      <c r="T59" s="19"/>
    </row>
    <row r="60" spans="2:20" x14ac:dyDescent="0.2">
      <c r="B60" s="18"/>
      <c r="G60" s="18" t="s">
        <v>155</v>
      </c>
      <c r="H60" s="19">
        <v>43040</v>
      </c>
      <c r="I60" s="18"/>
      <c r="J60" s="18"/>
      <c r="K60" s="18"/>
      <c r="L60" s="18"/>
      <c r="M60" s="18"/>
      <c r="N60" s="18"/>
      <c r="O60" s="18"/>
      <c r="R60" s="18"/>
      <c r="S60" s="18"/>
      <c r="T60" s="19"/>
    </row>
    <row r="61" spans="2:20" x14ac:dyDescent="0.2">
      <c r="B61" s="18"/>
      <c r="G61" s="18" t="s">
        <v>156</v>
      </c>
      <c r="H61" s="19">
        <v>43040</v>
      </c>
      <c r="I61" s="18"/>
      <c r="J61" s="18"/>
      <c r="K61" s="18"/>
      <c r="L61" s="18"/>
      <c r="M61" s="18"/>
      <c r="N61" s="18"/>
      <c r="O61" s="18"/>
      <c r="R61" s="18"/>
      <c r="S61" s="18"/>
      <c r="T61" s="19"/>
    </row>
    <row r="62" spans="2:20" x14ac:dyDescent="0.2">
      <c r="B62" s="18"/>
      <c r="G62" s="18" t="s">
        <v>157</v>
      </c>
      <c r="H62" s="19">
        <v>43040</v>
      </c>
      <c r="I62" s="18"/>
      <c r="J62" s="18"/>
      <c r="K62" s="18"/>
      <c r="L62" s="18"/>
      <c r="M62" s="18"/>
      <c r="N62" s="18"/>
      <c r="O62" s="18"/>
      <c r="R62" s="18"/>
      <c r="S62" s="18"/>
      <c r="T62" s="19"/>
    </row>
    <row r="63" spans="2:20" x14ac:dyDescent="0.2">
      <c r="B63" s="18"/>
      <c r="G63" s="18" t="s">
        <v>158</v>
      </c>
      <c r="H63" s="19">
        <v>43040</v>
      </c>
      <c r="I63" s="18"/>
      <c r="J63" s="18"/>
      <c r="K63" s="18"/>
      <c r="L63" s="18"/>
      <c r="M63" s="18"/>
      <c r="N63" s="18"/>
      <c r="O63" s="18"/>
      <c r="R63" s="18"/>
      <c r="S63" s="18"/>
      <c r="T63" s="19"/>
    </row>
    <row r="64" spans="2:20" x14ac:dyDescent="0.2">
      <c r="B64" s="18"/>
      <c r="G64" s="18" t="s">
        <v>159</v>
      </c>
      <c r="H64" s="19">
        <v>43042</v>
      </c>
      <c r="I64" s="18"/>
      <c r="J64" s="18"/>
      <c r="K64" s="18"/>
      <c r="L64" s="18"/>
      <c r="M64" s="18"/>
      <c r="N64" s="18"/>
      <c r="O64" s="18"/>
      <c r="R64" s="18"/>
      <c r="S64" s="18"/>
      <c r="T64" s="19"/>
    </row>
    <row r="65" spans="2:20" x14ac:dyDescent="0.2">
      <c r="B65" s="18"/>
      <c r="G65" s="18" t="s">
        <v>160</v>
      </c>
      <c r="H65" s="19">
        <v>43042</v>
      </c>
      <c r="I65" s="18"/>
      <c r="J65" s="18"/>
      <c r="K65" s="18"/>
      <c r="L65" s="18"/>
      <c r="M65" s="18"/>
      <c r="N65" s="18"/>
      <c r="O65" s="18"/>
      <c r="R65" s="18"/>
      <c r="S65" s="18"/>
      <c r="T65" s="19"/>
    </row>
    <row r="66" spans="2:20" x14ac:dyDescent="0.2">
      <c r="B66" s="18"/>
      <c r="G66" s="18" t="s">
        <v>161</v>
      </c>
      <c r="H66" s="19">
        <v>43042</v>
      </c>
      <c r="I66" s="18"/>
      <c r="J66" s="18"/>
      <c r="K66" s="18"/>
      <c r="L66" s="18"/>
      <c r="M66" s="18"/>
      <c r="N66" s="18"/>
      <c r="O66" s="18"/>
      <c r="R66" s="18"/>
      <c r="S66" s="18"/>
      <c r="T66" s="19"/>
    </row>
    <row r="67" spans="2:20" x14ac:dyDescent="0.2">
      <c r="B67" s="18"/>
      <c r="G67" s="18" t="s">
        <v>162</v>
      </c>
      <c r="H67" s="19">
        <v>43042</v>
      </c>
      <c r="I67" s="18"/>
      <c r="J67" s="18"/>
      <c r="K67" s="18"/>
      <c r="L67" s="18"/>
      <c r="M67" s="18"/>
      <c r="N67" s="18"/>
      <c r="O67" s="18"/>
      <c r="R67" s="18"/>
      <c r="S67" s="18"/>
      <c r="T67" s="19"/>
    </row>
    <row r="68" spans="2:20" x14ac:dyDescent="0.2">
      <c r="B68" s="18"/>
      <c r="G68" s="18" t="s">
        <v>163</v>
      </c>
      <c r="H68" s="19">
        <v>43042</v>
      </c>
      <c r="I68" s="18"/>
      <c r="J68" s="18"/>
      <c r="K68" s="18"/>
      <c r="L68" s="18"/>
      <c r="M68" s="18"/>
      <c r="N68" s="18"/>
      <c r="O68" s="18"/>
      <c r="R68" s="18"/>
      <c r="S68" s="18"/>
      <c r="T68" s="19"/>
    </row>
    <row r="69" spans="2:20" x14ac:dyDescent="0.2">
      <c r="B69" s="18"/>
      <c r="G69" s="18" t="s">
        <v>164</v>
      </c>
      <c r="H69" s="19">
        <v>43045</v>
      </c>
      <c r="I69" s="18"/>
      <c r="J69" s="18"/>
      <c r="K69" s="18"/>
      <c r="L69" s="18"/>
      <c r="M69" s="18"/>
      <c r="N69" s="18"/>
      <c r="O69" s="18"/>
      <c r="R69" s="18"/>
      <c r="S69" s="18"/>
      <c r="T69" s="19"/>
    </row>
    <row r="70" spans="2:20" x14ac:dyDescent="0.2">
      <c r="B70" s="18"/>
      <c r="G70" s="18" t="s">
        <v>165</v>
      </c>
      <c r="H70" s="19">
        <v>43045</v>
      </c>
      <c r="I70" s="18"/>
      <c r="J70" s="18"/>
      <c r="K70" s="18"/>
      <c r="L70" s="18"/>
      <c r="M70" s="18"/>
      <c r="N70" s="18"/>
      <c r="O70" s="18"/>
      <c r="R70" s="18"/>
      <c r="S70" s="18"/>
      <c r="T70" s="19"/>
    </row>
    <row r="71" spans="2:20" x14ac:dyDescent="0.2">
      <c r="B71" s="18"/>
      <c r="G71" s="18" t="s">
        <v>166</v>
      </c>
      <c r="H71" s="19">
        <v>43045</v>
      </c>
      <c r="I71" s="18"/>
      <c r="J71" s="18"/>
      <c r="K71" s="18"/>
      <c r="L71" s="18"/>
      <c r="M71" s="18"/>
      <c r="N71" s="18"/>
      <c r="O71" s="18"/>
      <c r="R71" s="18"/>
      <c r="S71" s="18"/>
      <c r="T71" s="19"/>
    </row>
    <row r="72" spans="2:20" x14ac:dyDescent="0.2">
      <c r="B72" s="18"/>
      <c r="G72" s="18" t="s">
        <v>167</v>
      </c>
      <c r="H72" s="19">
        <v>43045</v>
      </c>
      <c r="I72" s="18"/>
      <c r="J72" s="18"/>
      <c r="K72" s="18"/>
      <c r="L72" s="18"/>
      <c r="M72" s="18"/>
      <c r="N72" s="18"/>
      <c r="O72" s="18"/>
      <c r="R72" s="18"/>
      <c r="S72" s="18"/>
      <c r="T72" s="19"/>
    </row>
    <row r="73" spans="2:20" x14ac:dyDescent="0.2">
      <c r="B73" s="18"/>
      <c r="G73" s="18" t="s">
        <v>168</v>
      </c>
      <c r="H73" s="19">
        <v>43045</v>
      </c>
      <c r="I73" s="18"/>
      <c r="J73" s="18"/>
      <c r="K73" s="18"/>
      <c r="L73" s="18"/>
      <c r="M73" s="18"/>
      <c r="N73" s="18"/>
      <c r="O73" s="18"/>
      <c r="R73" s="18"/>
      <c r="S73" s="18"/>
      <c r="T73" s="19"/>
    </row>
    <row r="74" spans="2:20" x14ac:dyDescent="0.2">
      <c r="B74" s="18"/>
      <c r="G74" s="18" t="s">
        <v>169</v>
      </c>
      <c r="H74" s="19">
        <v>43047</v>
      </c>
      <c r="I74" s="18"/>
      <c r="J74" s="18"/>
      <c r="K74" s="18"/>
      <c r="L74" s="18"/>
      <c r="M74" s="18"/>
      <c r="N74" s="18"/>
      <c r="O74" s="18"/>
      <c r="R74" s="18"/>
      <c r="S74" s="18"/>
      <c r="T74" s="19"/>
    </row>
    <row r="75" spans="2:20" x14ac:dyDescent="0.2">
      <c r="B75" s="18"/>
      <c r="G75" s="18" t="s">
        <v>170</v>
      </c>
      <c r="H75" s="19">
        <v>43047</v>
      </c>
      <c r="I75" s="18"/>
      <c r="J75" s="18"/>
      <c r="K75" s="18"/>
      <c r="L75" s="18"/>
      <c r="M75" s="18"/>
      <c r="N75" s="18"/>
      <c r="O75" s="18"/>
      <c r="R75" s="18"/>
      <c r="S75" s="18"/>
      <c r="T75" s="19"/>
    </row>
    <row r="76" spans="2:20" x14ac:dyDescent="0.2">
      <c r="B76" s="18"/>
      <c r="G76" s="18" t="s">
        <v>171</v>
      </c>
      <c r="H76" s="19">
        <v>43047</v>
      </c>
      <c r="I76" s="18"/>
      <c r="J76" s="18"/>
      <c r="K76" s="18"/>
      <c r="L76" s="18"/>
      <c r="M76" s="18"/>
      <c r="N76" s="18"/>
      <c r="O76" s="18"/>
      <c r="R76" s="18"/>
      <c r="S76" s="18"/>
      <c r="T76" s="19"/>
    </row>
    <row r="77" spans="2:20" x14ac:dyDescent="0.2">
      <c r="B77" s="18"/>
      <c r="G77" s="18" t="s">
        <v>172</v>
      </c>
      <c r="H77" s="19">
        <v>43047</v>
      </c>
      <c r="I77" s="18"/>
      <c r="J77" s="18"/>
      <c r="K77" s="18"/>
      <c r="L77" s="18"/>
      <c r="M77" s="18"/>
      <c r="N77" s="18"/>
      <c r="O77" s="18"/>
      <c r="R77" s="18"/>
      <c r="S77" s="18"/>
      <c r="T77" s="19"/>
    </row>
    <row r="78" spans="2:20" x14ac:dyDescent="0.2">
      <c r="B78" s="18"/>
      <c r="G78" s="18" t="s">
        <v>173</v>
      </c>
      <c r="H78" s="19">
        <v>43047</v>
      </c>
      <c r="I78" s="18"/>
      <c r="J78" s="18"/>
      <c r="K78" s="18"/>
      <c r="L78" s="18"/>
      <c r="M78" s="18"/>
      <c r="N78" s="18"/>
      <c r="O78" s="18"/>
      <c r="R78" s="18"/>
      <c r="S78" s="18"/>
      <c r="T78" s="19"/>
    </row>
    <row r="79" spans="2:20" x14ac:dyDescent="0.2">
      <c r="B79" s="18"/>
      <c r="G79" s="18" t="s">
        <v>174</v>
      </c>
      <c r="H79" s="19">
        <v>43049</v>
      </c>
      <c r="I79" s="18"/>
      <c r="J79" s="18"/>
      <c r="K79" s="18"/>
      <c r="L79" s="18"/>
      <c r="M79" s="18"/>
      <c r="N79" s="18"/>
      <c r="O79" s="18"/>
      <c r="R79" s="18"/>
      <c r="S79" s="18"/>
      <c r="T79" s="19"/>
    </row>
    <row r="80" spans="2:20" x14ac:dyDescent="0.2">
      <c r="B80" s="18"/>
      <c r="G80" s="18" t="s">
        <v>175</v>
      </c>
      <c r="H80" s="19">
        <v>43049</v>
      </c>
      <c r="I80" s="18"/>
      <c r="J80" s="18"/>
      <c r="K80" s="18"/>
      <c r="L80" s="18"/>
      <c r="M80" s="18"/>
      <c r="N80" s="18"/>
      <c r="O80" s="18"/>
      <c r="R80" s="18"/>
      <c r="S80" s="18"/>
      <c r="T80" s="19"/>
    </row>
    <row r="81" spans="2:20" x14ac:dyDescent="0.2">
      <c r="B81" s="18"/>
      <c r="G81" s="18" t="s">
        <v>176</v>
      </c>
      <c r="H81" s="19">
        <v>43049</v>
      </c>
      <c r="I81" s="18"/>
      <c r="J81" s="18"/>
      <c r="K81" s="18"/>
      <c r="L81" s="18"/>
      <c r="M81" s="18"/>
      <c r="N81" s="18"/>
      <c r="O81" s="18"/>
      <c r="R81" s="18"/>
      <c r="S81" s="18"/>
      <c r="T81" s="19"/>
    </row>
    <row r="82" spans="2:20" x14ac:dyDescent="0.2">
      <c r="B82" s="18"/>
      <c r="G82" s="18" t="s">
        <v>177</v>
      </c>
      <c r="H82" s="19">
        <v>43049</v>
      </c>
      <c r="I82" s="18"/>
      <c r="J82" s="18"/>
      <c r="K82" s="18"/>
      <c r="L82" s="18"/>
      <c r="M82" s="18"/>
      <c r="N82" s="18"/>
      <c r="O82" s="18"/>
      <c r="R82" s="18"/>
      <c r="S82" s="18"/>
      <c r="T82" s="19"/>
    </row>
    <row r="83" spans="2:20" x14ac:dyDescent="0.2">
      <c r="B83" s="18"/>
      <c r="G83" s="18" t="s">
        <v>178</v>
      </c>
      <c r="H83" s="19">
        <v>43049</v>
      </c>
      <c r="I83" s="18"/>
      <c r="J83" s="18"/>
      <c r="K83" s="18"/>
      <c r="L83" s="18"/>
      <c r="M83" s="18"/>
      <c r="N83" s="18"/>
      <c r="O83" s="18"/>
      <c r="R83" s="18"/>
      <c r="S83" s="18"/>
      <c r="T83" s="19"/>
    </row>
    <row r="84" spans="2:20" x14ac:dyDescent="0.2">
      <c r="B84" s="18"/>
      <c r="G84" s="18" t="s">
        <v>179</v>
      </c>
      <c r="H84" s="19">
        <v>43052</v>
      </c>
      <c r="I84" s="18"/>
      <c r="J84" s="18"/>
      <c r="K84" s="18"/>
      <c r="L84" s="18"/>
      <c r="M84" s="18"/>
      <c r="N84" s="18"/>
      <c r="O84" s="18"/>
      <c r="R84" s="18"/>
      <c r="S84" s="18"/>
      <c r="T84" s="19"/>
    </row>
    <row r="85" spans="2:20" x14ac:dyDescent="0.2">
      <c r="B85" s="18"/>
      <c r="G85" s="18" t="s">
        <v>180</v>
      </c>
      <c r="H85" s="19">
        <v>43052</v>
      </c>
      <c r="I85" s="18"/>
      <c r="J85" s="18"/>
      <c r="K85" s="18"/>
      <c r="L85" s="18"/>
      <c r="M85" s="18"/>
      <c r="N85" s="18"/>
      <c r="O85" s="18"/>
      <c r="R85" s="18"/>
      <c r="S85" s="18"/>
      <c r="T85" s="19"/>
    </row>
    <row r="86" spans="2:20" x14ac:dyDescent="0.2">
      <c r="B86" s="18"/>
      <c r="G86" s="18" t="s">
        <v>181</v>
      </c>
      <c r="H86" s="19">
        <v>43052</v>
      </c>
      <c r="I86" s="18"/>
      <c r="J86" s="18"/>
      <c r="K86" s="18"/>
      <c r="L86" s="18"/>
      <c r="M86" s="18"/>
      <c r="N86" s="18"/>
      <c r="O86" s="18"/>
      <c r="R86" s="18"/>
      <c r="S86" s="18"/>
      <c r="T86" s="19"/>
    </row>
    <row r="87" spans="2:20" x14ac:dyDescent="0.2">
      <c r="B87" s="18"/>
      <c r="G87" s="18" t="s">
        <v>182</v>
      </c>
      <c r="H87" s="19">
        <v>43052</v>
      </c>
      <c r="I87" s="18"/>
      <c r="J87" s="18"/>
      <c r="K87" s="18"/>
      <c r="L87" s="18"/>
      <c r="M87" s="18"/>
      <c r="N87" s="18"/>
      <c r="O87" s="18"/>
      <c r="R87" s="18"/>
      <c r="S87" s="18"/>
      <c r="T87" s="19"/>
    </row>
    <row r="88" spans="2:20" x14ac:dyDescent="0.2">
      <c r="B88" s="18"/>
      <c r="G88" s="18" t="s">
        <v>183</v>
      </c>
      <c r="H88" s="19">
        <v>43052</v>
      </c>
      <c r="I88" s="18"/>
      <c r="J88" s="18"/>
      <c r="K88" s="18"/>
      <c r="L88" s="18"/>
      <c r="M88" s="18"/>
      <c r="N88" s="18"/>
      <c r="O88" s="18"/>
      <c r="R88" s="18"/>
      <c r="S88" s="18"/>
      <c r="T88" s="19"/>
    </row>
    <row r="89" spans="2:20" x14ac:dyDescent="0.2">
      <c r="B89" s="18"/>
      <c r="G89" s="18" t="s">
        <v>184</v>
      </c>
      <c r="H89" s="19">
        <v>43054</v>
      </c>
      <c r="I89" s="18"/>
      <c r="J89" s="18"/>
      <c r="K89" s="18"/>
      <c r="L89" s="18"/>
      <c r="M89" s="18"/>
      <c r="N89" s="18"/>
      <c r="O89" s="18"/>
      <c r="R89" s="18"/>
      <c r="S89" s="18"/>
      <c r="T89" s="19"/>
    </row>
    <row r="90" spans="2:20" x14ac:dyDescent="0.2">
      <c r="B90" s="18"/>
      <c r="G90" s="18" t="s">
        <v>185</v>
      </c>
      <c r="H90" s="19">
        <v>43054</v>
      </c>
      <c r="I90" s="18"/>
      <c r="J90" s="18"/>
      <c r="K90" s="18"/>
      <c r="L90" s="18"/>
      <c r="M90" s="18"/>
      <c r="N90" s="18"/>
      <c r="O90" s="18"/>
      <c r="R90" s="18"/>
      <c r="S90" s="18"/>
      <c r="T90" s="19"/>
    </row>
    <row r="91" spans="2:20" x14ac:dyDescent="0.2">
      <c r="B91" s="18"/>
      <c r="G91" s="18" t="s">
        <v>186</v>
      </c>
      <c r="H91" s="19">
        <v>43054</v>
      </c>
      <c r="I91" s="18"/>
      <c r="J91" s="18"/>
      <c r="K91" s="18"/>
      <c r="L91" s="18"/>
      <c r="M91" s="18"/>
      <c r="N91" s="18"/>
      <c r="O91" s="18"/>
      <c r="R91" s="18"/>
      <c r="S91" s="18"/>
      <c r="T91" s="19"/>
    </row>
    <row r="92" spans="2:20" x14ac:dyDescent="0.2">
      <c r="B92" s="18"/>
      <c r="G92" s="18" t="s">
        <v>187</v>
      </c>
      <c r="H92" s="19">
        <v>43054</v>
      </c>
      <c r="I92" s="18"/>
      <c r="J92" s="18"/>
      <c r="K92" s="18"/>
      <c r="L92" s="18"/>
      <c r="M92" s="18"/>
      <c r="N92" s="18"/>
      <c r="O92" s="18"/>
      <c r="R92" s="18"/>
      <c r="S92" s="18"/>
      <c r="T92" s="19"/>
    </row>
    <row r="93" spans="2:20" x14ac:dyDescent="0.2">
      <c r="B93" s="18"/>
      <c r="G93" s="18" t="s">
        <v>188</v>
      </c>
      <c r="H93" s="19">
        <v>43054</v>
      </c>
      <c r="I93" s="18"/>
      <c r="J93" s="18"/>
      <c r="K93" s="18"/>
      <c r="L93" s="18"/>
      <c r="M93" s="18"/>
      <c r="N93" s="18"/>
      <c r="O93" s="18"/>
      <c r="R93" s="18"/>
      <c r="S93" s="18"/>
      <c r="T93" s="19"/>
    </row>
    <row r="94" spans="2:20" x14ac:dyDescent="0.2">
      <c r="B94" s="18"/>
      <c r="G94" s="18" t="s">
        <v>189</v>
      </c>
      <c r="H94" s="19">
        <v>43056</v>
      </c>
      <c r="I94" s="18"/>
      <c r="J94" s="18"/>
      <c r="K94" s="18"/>
      <c r="L94" s="18"/>
      <c r="M94" s="18"/>
      <c r="N94" s="18"/>
      <c r="O94" s="18"/>
      <c r="R94" s="18"/>
      <c r="S94" s="18"/>
      <c r="T94" s="19"/>
    </row>
    <row r="95" spans="2:20" x14ac:dyDescent="0.2">
      <c r="B95" s="18"/>
      <c r="G95" s="18" t="s">
        <v>190</v>
      </c>
      <c r="H95" s="19">
        <v>43056</v>
      </c>
      <c r="I95" s="18"/>
      <c r="J95" s="18"/>
      <c r="K95" s="18"/>
      <c r="L95" s="18"/>
      <c r="M95" s="18"/>
      <c r="N95" s="18"/>
      <c r="O95" s="18"/>
      <c r="R95" s="18"/>
      <c r="S95" s="18"/>
      <c r="T95" s="19"/>
    </row>
    <row r="96" spans="2:20" x14ac:dyDescent="0.2">
      <c r="B96" s="18"/>
      <c r="G96" s="18" t="s">
        <v>191</v>
      </c>
      <c r="H96" s="19">
        <v>43056</v>
      </c>
      <c r="I96" s="18"/>
      <c r="J96" s="18"/>
      <c r="K96" s="18"/>
      <c r="L96" s="18"/>
      <c r="M96" s="18"/>
      <c r="N96" s="18"/>
      <c r="O96" s="18"/>
      <c r="R96" s="18"/>
      <c r="S96" s="18"/>
      <c r="T96" s="19"/>
    </row>
    <row r="97" spans="2:20" x14ac:dyDescent="0.2">
      <c r="B97" s="18"/>
      <c r="G97" s="18" t="s">
        <v>192</v>
      </c>
      <c r="H97" s="19">
        <v>43056</v>
      </c>
      <c r="I97" s="18"/>
      <c r="J97" s="18"/>
      <c r="K97" s="18"/>
      <c r="L97" s="18"/>
      <c r="M97" s="18"/>
      <c r="N97" s="18"/>
      <c r="O97" s="18"/>
      <c r="R97" s="18"/>
      <c r="S97" s="18"/>
      <c r="T97" s="19"/>
    </row>
    <row r="98" spans="2:20" x14ac:dyDescent="0.2">
      <c r="B98" s="18"/>
      <c r="G98" s="18" t="s">
        <v>193</v>
      </c>
      <c r="H98" s="19">
        <v>43056</v>
      </c>
      <c r="I98" s="18"/>
      <c r="J98" s="18"/>
      <c r="K98" s="18"/>
      <c r="L98" s="18"/>
      <c r="M98" s="18"/>
      <c r="N98" s="18"/>
      <c r="O98" s="18"/>
      <c r="R98" s="18"/>
      <c r="S98" s="18"/>
      <c r="T98" s="19"/>
    </row>
    <row r="99" spans="2:20" x14ac:dyDescent="0.2">
      <c r="B99" s="18"/>
      <c r="G99" s="18" t="s">
        <v>194</v>
      </c>
      <c r="H99" s="19">
        <v>43056</v>
      </c>
      <c r="I99" s="18"/>
      <c r="J99" s="18"/>
      <c r="K99" s="18"/>
      <c r="L99" s="18"/>
      <c r="M99" s="18"/>
      <c r="N99" s="18"/>
      <c r="O99" s="18"/>
      <c r="R99" s="18"/>
      <c r="S99" s="18"/>
      <c r="T99" s="19"/>
    </row>
    <row r="100" spans="2:20" x14ac:dyDescent="0.2">
      <c r="B100" s="18"/>
      <c r="G100" s="18" t="s">
        <v>195</v>
      </c>
      <c r="H100" s="19">
        <v>43056</v>
      </c>
      <c r="I100" s="18"/>
      <c r="J100" s="18"/>
      <c r="K100" s="18"/>
      <c r="L100" s="18"/>
      <c r="M100" s="18"/>
      <c r="N100" s="18"/>
      <c r="O100" s="18"/>
      <c r="R100" s="18"/>
      <c r="S100" s="18"/>
      <c r="T100" s="19"/>
    </row>
    <row r="101" spans="2:20" x14ac:dyDescent="0.2">
      <c r="B101" s="18"/>
      <c r="G101" s="18" t="s">
        <v>196</v>
      </c>
      <c r="H101" s="19">
        <v>43056</v>
      </c>
      <c r="I101" s="18"/>
      <c r="J101" s="18"/>
      <c r="K101" s="18"/>
      <c r="L101" s="18"/>
      <c r="M101" s="18"/>
      <c r="N101" s="18"/>
      <c r="O101" s="18"/>
      <c r="R101" s="18"/>
      <c r="S101" s="18"/>
      <c r="T101" s="19"/>
    </row>
    <row r="102" spans="2:20" x14ac:dyDescent="0.2">
      <c r="G102" s="18" t="s">
        <v>197</v>
      </c>
      <c r="H102" s="19">
        <v>43056</v>
      </c>
      <c r="I102" s="18"/>
      <c r="J102" s="18"/>
      <c r="K102" s="18"/>
      <c r="L102" s="18"/>
      <c r="M102" s="18"/>
      <c r="N102" s="18"/>
      <c r="O102" s="18"/>
      <c r="R102" s="18"/>
      <c r="S102" s="18"/>
      <c r="T102" s="19"/>
    </row>
    <row r="103" spans="2:20" x14ac:dyDescent="0.2">
      <c r="G103" s="18" t="s">
        <v>198</v>
      </c>
      <c r="H103" s="19">
        <v>43056</v>
      </c>
      <c r="I103" s="18"/>
      <c r="J103" s="18"/>
      <c r="K103" s="18"/>
      <c r="L103" s="18"/>
      <c r="M103" s="18"/>
      <c r="N103" s="18"/>
      <c r="O103" s="18"/>
      <c r="R103" s="18"/>
      <c r="S103" s="18"/>
      <c r="T103" s="19"/>
    </row>
    <row r="104" spans="2:20" x14ac:dyDescent="0.2">
      <c r="G104" s="18" t="s">
        <v>199</v>
      </c>
      <c r="H104" s="19">
        <v>43063</v>
      </c>
      <c r="I104" s="18"/>
      <c r="J104" s="18"/>
      <c r="K104" s="18"/>
      <c r="L104" s="18"/>
      <c r="M104" s="18"/>
      <c r="N104" s="18"/>
      <c r="O104" s="18"/>
      <c r="R104" s="18"/>
      <c r="S104" s="18"/>
      <c r="T104" s="20"/>
    </row>
    <row r="105" spans="2:20" x14ac:dyDescent="0.2">
      <c r="G105" s="18" t="s">
        <v>200</v>
      </c>
      <c r="H105" s="19">
        <v>43063</v>
      </c>
      <c r="I105" s="18"/>
      <c r="J105" s="18"/>
      <c r="K105" s="18"/>
      <c r="L105" s="18"/>
      <c r="M105" s="18"/>
      <c r="N105" s="18"/>
      <c r="O105" s="18"/>
      <c r="R105" s="18"/>
      <c r="S105" s="18"/>
      <c r="T105" s="20"/>
    </row>
    <row r="106" spans="2:20" x14ac:dyDescent="0.2">
      <c r="G106" s="18" t="s">
        <v>201</v>
      </c>
      <c r="H106" s="19">
        <v>43063</v>
      </c>
      <c r="I106" s="18"/>
      <c r="J106" s="18"/>
      <c r="K106" s="18"/>
      <c r="L106" s="18"/>
      <c r="M106" s="18"/>
      <c r="N106" s="18"/>
      <c r="O106" s="18"/>
      <c r="R106" s="18"/>
      <c r="S106" s="18"/>
      <c r="T106" s="20"/>
    </row>
    <row r="107" spans="2:20" x14ac:dyDescent="0.2">
      <c r="G107" s="18" t="s">
        <v>202</v>
      </c>
      <c r="H107" s="19">
        <v>43063</v>
      </c>
      <c r="I107" s="18"/>
      <c r="J107" s="18"/>
      <c r="K107" s="18"/>
      <c r="L107" s="18"/>
      <c r="M107" s="18"/>
      <c r="N107" s="18"/>
      <c r="O107" s="18"/>
      <c r="R107" s="18"/>
      <c r="S107" s="18"/>
      <c r="T107" s="20"/>
    </row>
    <row r="108" spans="2:20" x14ac:dyDescent="0.2">
      <c r="G108" s="18" t="s">
        <v>203</v>
      </c>
      <c r="H108" s="19">
        <v>43063</v>
      </c>
      <c r="I108" s="18"/>
      <c r="J108" s="18"/>
      <c r="K108" s="18"/>
      <c r="L108" s="18"/>
      <c r="M108" s="18"/>
      <c r="N108" s="18"/>
      <c r="O108" s="18"/>
      <c r="R108" s="18"/>
      <c r="S108" s="18"/>
      <c r="T108" s="20"/>
    </row>
    <row r="109" spans="2:20" x14ac:dyDescent="0.2">
      <c r="G109" s="18"/>
      <c r="H109" s="19"/>
      <c r="I109" s="18"/>
      <c r="J109" s="18"/>
      <c r="K109" s="18"/>
      <c r="L109" s="18"/>
      <c r="M109" s="18"/>
      <c r="N109" s="18"/>
      <c r="O109" s="18"/>
      <c r="R109" s="18"/>
      <c r="S109" s="18"/>
      <c r="T109" s="20"/>
    </row>
    <row r="110" spans="2:20" x14ac:dyDescent="0.2">
      <c r="G110" s="18"/>
      <c r="H110" s="19"/>
      <c r="I110" s="18"/>
      <c r="J110" s="18"/>
      <c r="K110" s="18"/>
      <c r="L110" s="18"/>
      <c r="M110" s="18"/>
      <c r="N110" s="18"/>
      <c r="O110" s="18"/>
      <c r="R110" s="18"/>
      <c r="S110" s="18"/>
      <c r="T110" s="20"/>
    </row>
    <row r="111" spans="2:20" x14ac:dyDescent="0.2">
      <c r="G111" s="18"/>
      <c r="H111" s="19"/>
      <c r="I111" s="18"/>
      <c r="J111" s="18"/>
      <c r="K111" s="18"/>
      <c r="L111" s="18"/>
      <c r="M111" s="18"/>
      <c r="N111" s="18"/>
      <c r="O111" s="18"/>
      <c r="R111" s="18"/>
      <c r="S111" s="18"/>
      <c r="T111" s="20"/>
    </row>
    <row r="112" spans="2:20" x14ac:dyDescent="0.2">
      <c r="G112" s="18"/>
      <c r="H112" s="19"/>
      <c r="I112" s="18"/>
      <c r="J112" s="18"/>
      <c r="K112" s="18"/>
      <c r="L112" s="18"/>
      <c r="M112" s="18"/>
      <c r="N112" s="18"/>
      <c r="O112" s="18"/>
      <c r="R112" s="18"/>
      <c r="S112" s="18"/>
      <c r="T112" s="20"/>
    </row>
    <row r="113" spans="7:20" x14ac:dyDescent="0.2">
      <c r="G113" s="18"/>
      <c r="H113" s="19"/>
      <c r="I113" s="18"/>
      <c r="J113" s="18"/>
      <c r="K113" s="18"/>
      <c r="L113" s="18"/>
      <c r="M113" s="18"/>
      <c r="N113" s="18"/>
      <c r="O113" s="18"/>
      <c r="R113" s="18"/>
      <c r="S113" s="18"/>
      <c r="T113" s="20"/>
    </row>
    <row r="114" spans="7:20" x14ac:dyDescent="0.2">
      <c r="G114" s="18"/>
      <c r="H114" s="19"/>
      <c r="I114" s="18"/>
      <c r="J114" s="18"/>
      <c r="K114" s="18"/>
      <c r="L114" s="18"/>
      <c r="M114" s="18"/>
      <c r="N114" s="18"/>
      <c r="O114" s="18"/>
      <c r="R114" s="18"/>
      <c r="S114" s="18"/>
      <c r="T114" s="20"/>
    </row>
    <row r="115" spans="7:20" x14ac:dyDescent="0.2">
      <c r="G115" s="18"/>
      <c r="H115" s="19"/>
      <c r="I115" s="18"/>
      <c r="J115" s="18"/>
      <c r="K115" s="18"/>
      <c r="L115" s="18"/>
      <c r="M115" s="18"/>
      <c r="N115" s="18"/>
      <c r="O115" s="18"/>
      <c r="R115" s="18"/>
      <c r="S115" s="18"/>
      <c r="T115" s="20"/>
    </row>
    <row r="116" spans="7:20" x14ac:dyDescent="0.2">
      <c r="G116" s="18"/>
      <c r="H116" s="19"/>
      <c r="I116" s="18"/>
      <c r="J116" s="18"/>
      <c r="K116" s="18"/>
      <c r="L116" s="18"/>
      <c r="M116" s="18"/>
      <c r="N116" s="18"/>
      <c r="O116" s="18"/>
      <c r="R116" s="18"/>
      <c r="S116" s="18"/>
      <c r="T116" s="20"/>
    </row>
    <row r="117" spans="7:20" x14ac:dyDescent="0.2">
      <c r="G117" s="18"/>
      <c r="H117" s="19"/>
      <c r="I117" s="18"/>
      <c r="J117" s="18"/>
      <c r="K117" s="18"/>
      <c r="L117" s="18"/>
      <c r="M117" s="18"/>
      <c r="N117" s="18"/>
      <c r="O117" s="18"/>
      <c r="R117" s="18"/>
      <c r="S117" s="18"/>
      <c r="T117" s="20"/>
    </row>
    <row r="118" spans="7:20" x14ac:dyDescent="0.2">
      <c r="G118" s="18"/>
      <c r="H118" s="19"/>
      <c r="I118" s="18"/>
      <c r="J118" s="18"/>
      <c r="K118" s="18"/>
      <c r="L118" s="18"/>
      <c r="M118" s="18"/>
      <c r="N118" s="18"/>
      <c r="O118" s="18"/>
      <c r="R118" s="18"/>
      <c r="S118" s="18"/>
      <c r="T118" s="20"/>
    </row>
    <row r="119" spans="7:20" x14ac:dyDescent="0.2">
      <c r="G119" s="18"/>
      <c r="H119" s="19"/>
      <c r="I119" s="18"/>
      <c r="J119" s="18"/>
      <c r="K119" s="18"/>
      <c r="L119" s="18"/>
      <c r="M119" s="18"/>
      <c r="N119" s="18"/>
      <c r="O119" s="18"/>
      <c r="R119" s="18"/>
      <c r="S119" s="18"/>
      <c r="T119" s="20"/>
    </row>
    <row r="120" spans="7:20" x14ac:dyDescent="0.2">
      <c r="G120" s="18"/>
      <c r="H120" s="19"/>
      <c r="I120" s="18"/>
      <c r="J120" s="18"/>
      <c r="K120" s="18"/>
      <c r="L120" s="18"/>
      <c r="M120" s="18"/>
      <c r="N120" s="18"/>
      <c r="O120" s="18"/>
      <c r="R120" s="18"/>
      <c r="S120" s="18"/>
      <c r="T120" s="20"/>
    </row>
    <row r="121" spans="7:20" x14ac:dyDescent="0.2">
      <c r="G121" s="18"/>
      <c r="H121" s="19"/>
      <c r="I121" s="18"/>
      <c r="J121" s="18"/>
      <c r="K121" s="18"/>
      <c r="L121" s="18"/>
      <c r="M121" s="18"/>
      <c r="N121" s="18"/>
      <c r="O121" s="18"/>
      <c r="R121" s="18"/>
      <c r="S121" s="18"/>
      <c r="T121" s="20"/>
    </row>
    <row r="122" spans="7:20" x14ac:dyDescent="0.2">
      <c r="G122" s="18"/>
      <c r="H122" s="19"/>
      <c r="I122" s="18"/>
      <c r="J122" s="18"/>
      <c r="K122" s="18"/>
      <c r="L122" s="18"/>
      <c r="M122" s="18"/>
      <c r="N122" s="18"/>
      <c r="O122" s="18"/>
      <c r="R122" s="18"/>
      <c r="S122" s="18"/>
      <c r="T122" s="20"/>
    </row>
    <row r="123" spans="7:20" x14ac:dyDescent="0.2">
      <c r="G123" s="18"/>
      <c r="H123" s="19"/>
      <c r="I123" s="18"/>
      <c r="J123" s="18"/>
      <c r="K123" s="18"/>
      <c r="L123" s="18"/>
      <c r="M123" s="18"/>
      <c r="N123" s="18"/>
      <c r="O123" s="18"/>
      <c r="R123" s="18"/>
      <c r="S123" s="18"/>
      <c r="T123" s="20"/>
    </row>
    <row r="124" spans="7:20" x14ac:dyDescent="0.2">
      <c r="G124" s="18"/>
      <c r="H124" s="19"/>
      <c r="I124" s="18"/>
      <c r="J124" s="18"/>
      <c r="K124" s="18"/>
      <c r="L124" s="18"/>
      <c r="M124" s="18"/>
      <c r="N124" s="18"/>
      <c r="O124" s="18"/>
      <c r="R124" s="18"/>
      <c r="S124" s="18"/>
      <c r="T124" s="20"/>
    </row>
    <row r="125" spans="7:20" x14ac:dyDescent="0.2">
      <c r="G125" s="18"/>
      <c r="H125" s="19"/>
      <c r="I125" s="18"/>
      <c r="J125" s="18"/>
      <c r="K125" s="18"/>
      <c r="L125" s="18"/>
      <c r="M125" s="18"/>
      <c r="N125" s="18"/>
      <c r="O125" s="18"/>
      <c r="R125" s="18"/>
      <c r="S125" s="18"/>
      <c r="T125" s="20"/>
    </row>
    <row r="126" spans="7:20" x14ac:dyDescent="0.2">
      <c r="G126" s="18"/>
      <c r="H126" s="19"/>
      <c r="I126" s="18"/>
      <c r="J126" s="18"/>
      <c r="K126" s="18"/>
      <c r="L126" s="18"/>
      <c r="M126" s="18"/>
      <c r="N126" s="18"/>
      <c r="O126" s="18"/>
      <c r="R126" s="18"/>
      <c r="S126" s="18"/>
      <c r="T126" s="20"/>
    </row>
    <row r="127" spans="7:20" x14ac:dyDescent="0.2">
      <c r="G127" s="18"/>
      <c r="H127" s="19"/>
      <c r="I127" s="18"/>
      <c r="J127" s="18"/>
      <c r="K127" s="18"/>
      <c r="L127" s="18"/>
      <c r="M127" s="18"/>
      <c r="N127" s="18"/>
      <c r="O127" s="18"/>
      <c r="R127" s="18"/>
      <c r="S127" s="18"/>
      <c r="T127" s="20"/>
    </row>
    <row r="128" spans="7:20" x14ac:dyDescent="0.2">
      <c r="G128" s="18"/>
      <c r="H128" s="19"/>
      <c r="I128" s="18"/>
      <c r="J128" s="18"/>
      <c r="K128" s="18"/>
      <c r="L128" s="18"/>
      <c r="M128" s="18"/>
      <c r="N128" s="18"/>
      <c r="O128" s="18"/>
      <c r="R128" s="18"/>
      <c r="S128" s="18"/>
      <c r="T128" s="20"/>
    </row>
    <row r="129" spans="7:20" x14ac:dyDescent="0.2">
      <c r="G129" s="18"/>
      <c r="H129" s="19"/>
      <c r="I129" s="18"/>
      <c r="J129" s="18"/>
      <c r="K129" s="18"/>
      <c r="L129" s="18"/>
      <c r="M129" s="18"/>
      <c r="N129" s="18"/>
      <c r="O129" s="18"/>
      <c r="R129" s="18"/>
      <c r="S129" s="18"/>
      <c r="T129" s="20"/>
    </row>
    <row r="130" spans="7:20" x14ac:dyDescent="0.2">
      <c r="G130" s="18"/>
      <c r="H130" s="19"/>
      <c r="I130" s="18"/>
      <c r="J130" s="18"/>
      <c r="K130" s="18"/>
      <c r="L130" s="18"/>
      <c r="M130" s="18"/>
      <c r="N130" s="18"/>
      <c r="O130" s="18"/>
      <c r="R130" s="18"/>
      <c r="S130" s="18"/>
      <c r="T130" s="20"/>
    </row>
    <row r="131" spans="7:20" x14ac:dyDescent="0.2">
      <c r="G131" s="18"/>
      <c r="H131" s="19"/>
      <c r="I131" s="18"/>
      <c r="J131" s="18"/>
      <c r="K131" s="18"/>
      <c r="L131" s="18"/>
      <c r="M131" s="18"/>
      <c r="N131" s="18"/>
      <c r="O131" s="18"/>
      <c r="R131" s="18"/>
      <c r="S131" s="18"/>
      <c r="T131" s="20"/>
    </row>
    <row r="132" spans="7:20" x14ac:dyDescent="0.2">
      <c r="G132" s="18"/>
      <c r="H132" s="19"/>
      <c r="I132" s="18"/>
      <c r="J132" s="18"/>
      <c r="K132" s="18"/>
      <c r="L132" s="18"/>
      <c r="M132" s="18"/>
      <c r="N132" s="18"/>
      <c r="O132" s="18"/>
      <c r="R132" s="18"/>
      <c r="S132" s="18"/>
      <c r="T132" s="20"/>
    </row>
    <row r="133" spans="7:20" x14ac:dyDescent="0.2">
      <c r="G133" s="18"/>
      <c r="H133" s="19"/>
      <c r="I133" s="18"/>
      <c r="J133" s="18"/>
      <c r="K133" s="18"/>
      <c r="L133" s="18"/>
      <c r="M133" s="18"/>
      <c r="N133" s="18"/>
      <c r="O133" s="18"/>
      <c r="R133" s="18"/>
      <c r="S133" s="18"/>
      <c r="T133" s="20"/>
    </row>
    <row r="134" spans="7:20" x14ac:dyDescent="0.2">
      <c r="G134" s="18"/>
      <c r="H134" s="19"/>
      <c r="I134" s="18"/>
      <c r="J134" s="18"/>
      <c r="K134" s="18"/>
      <c r="L134" s="18"/>
      <c r="M134" s="18"/>
      <c r="N134" s="18"/>
      <c r="O134" s="18"/>
      <c r="R134" s="18"/>
      <c r="S134" s="18"/>
      <c r="T134" s="20"/>
    </row>
    <row r="135" spans="7:20" x14ac:dyDescent="0.2">
      <c r="G135" s="18"/>
      <c r="H135" s="19"/>
      <c r="I135" s="18"/>
      <c r="J135" s="18"/>
      <c r="K135" s="18"/>
      <c r="L135" s="18"/>
      <c r="M135" s="18"/>
      <c r="N135" s="18"/>
      <c r="O135" s="18"/>
      <c r="R135" s="18"/>
      <c r="S135" s="18"/>
      <c r="T135" s="20"/>
    </row>
    <row r="136" spans="7:20" x14ac:dyDescent="0.2">
      <c r="G136" s="18"/>
      <c r="H136" s="19"/>
      <c r="I136" s="18"/>
      <c r="J136" s="18"/>
      <c r="K136" s="18"/>
      <c r="L136" s="18"/>
      <c r="M136" s="18"/>
      <c r="N136" s="18"/>
      <c r="O136" s="18"/>
      <c r="R136" s="18"/>
      <c r="S136" s="18"/>
      <c r="T136" s="20"/>
    </row>
    <row r="137" spans="7:20" x14ac:dyDescent="0.2">
      <c r="G137" s="18"/>
      <c r="H137" s="19"/>
      <c r="I137" s="18"/>
      <c r="J137" s="18"/>
      <c r="K137" s="18"/>
      <c r="L137" s="18"/>
      <c r="M137" s="18"/>
      <c r="N137" s="18"/>
      <c r="O137" s="18"/>
      <c r="R137" s="18"/>
      <c r="S137" s="18"/>
      <c r="T137" s="20"/>
    </row>
    <row r="138" spans="7:20" x14ac:dyDescent="0.2">
      <c r="G138" s="18"/>
      <c r="H138" s="19"/>
      <c r="I138" s="18"/>
      <c r="J138" s="18"/>
      <c r="K138" s="18"/>
      <c r="L138" s="18"/>
      <c r="M138" s="18"/>
      <c r="N138" s="18"/>
      <c r="O138" s="18"/>
      <c r="R138" s="18"/>
      <c r="S138" s="18"/>
      <c r="T138" s="20"/>
    </row>
    <row r="139" spans="7:20" x14ac:dyDescent="0.2">
      <c r="G139" s="18"/>
      <c r="H139" s="19"/>
      <c r="I139" s="18"/>
      <c r="J139" s="18"/>
      <c r="K139" s="18"/>
      <c r="L139" s="18"/>
      <c r="M139" s="18"/>
      <c r="N139" s="18"/>
      <c r="O139" s="18"/>
      <c r="R139" s="18"/>
      <c r="S139" s="18"/>
      <c r="T139" s="20"/>
    </row>
    <row r="140" spans="7:20" x14ac:dyDescent="0.2">
      <c r="G140" s="18"/>
      <c r="H140" s="19"/>
      <c r="I140" s="18"/>
      <c r="J140" s="18"/>
      <c r="K140" s="18"/>
      <c r="L140" s="18"/>
      <c r="M140" s="18"/>
      <c r="N140" s="18"/>
      <c r="O140" s="18"/>
      <c r="R140" s="18"/>
      <c r="S140" s="18"/>
      <c r="T140" s="20"/>
    </row>
    <row r="141" spans="7:20" x14ac:dyDescent="0.2">
      <c r="G141" s="18"/>
      <c r="H141" s="19"/>
      <c r="I141" s="18"/>
      <c r="J141" s="18"/>
      <c r="K141" s="18"/>
      <c r="L141" s="18"/>
      <c r="M141" s="18"/>
      <c r="N141" s="18"/>
      <c r="O141" s="18"/>
      <c r="R141" s="18"/>
      <c r="S141" s="18"/>
      <c r="T141" s="20"/>
    </row>
    <row r="142" spans="7:20" x14ac:dyDescent="0.2">
      <c r="G142" s="18"/>
      <c r="H142" s="19"/>
      <c r="I142" s="18"/>
      <c r="J142" s="18"/>
      <c r="K142" s="18"/>
      <c r="L142" s="18"/>
      <c r="M142" s="18"/>
      <c r="N142" s="18"/>
      <c r="O142" s="18"/>
      <c r="R142" s="18"/>
      <c r="S142" s="18"/>
      <c r="T142" s="20"/>
    </row>
    <row r="143" spans="7:20" x14ac:dyDescent="0.2">
      <c r="G143" s="18"/>
      <c r="H143" s="19"/>
      <c r="I143" s="18"/>
      <c r="J143" s="18"/>
      <c r="K143" s="18"/>
      <c r="L143" s="18"/>
      <c r="M143" s="18"/>
      <c r="N143" s="18"/>
      <c r="O143" s="18"/>
      <c r="R143" s="18"/>
      <c r="S143" s="18"/>
      <c r="T143" s="20"/>
    </row>
    <row r="144" spans="7:20" x14ac:dyDescent="0.2">
      <c r="G144" s="18"/>
      <c r="H144" s="19"/>
      <c r="I144" s="18"/>
      <c r="J144" s="18"/>
      <c r="K144" s="18"/>
      <c r="L144" s="18"/>
      <c r="M144" s="18"/>
      <c r="N144" s="18"/>
      <c r="O144" s="18"/>
      <c r="R144" s="18"/>
      <c r="S144" s="18"/>
      <c r="T144" s="20"/>
    </row>
    <row r="145" spans="7:20" x14ac:dyDescent="0.2">
      <c r="G145" s="18"/>
      <c r="H145" s="19"/>
      <c r="I145" s="18"/>
      <c r="J145" s="18"/>
      <c r="K145" s="18"/>
      <c r="L145" s="18"/>
      <c r="M145" s="18"/>
      <c r="N145" s="18"/>
      <c r="O145" s="18"/>
      <c r="R145" s="18"/>
      <c r="S145" s="18"/>
      <c r="T145" s="20"/>
    </row>
    <row r="146" spans="7:20" x14ac:dyDescent="0.2">
      <c r="G146" s="18"/>
      <c r="H146" s="19"/>
      <c r="I146" s="18"/>
      <c r="J146" s="18"/>
      <c r="K146" s="18"/>
      <c r="L146" s="18"/>
      <c r="M146" s="18"/>
      <c r="N146" s="18"/>
      <c r="O146" s="18"/>
      <c r="R146" s="18"/>
      <c r="S146" s="18"/>
      <c r="T146" s="20"/>
    </row>
    <row r="147" spans="7:20" x14ac:dyDescent="0.2">
      <c r="G147" s="18"/>
      <c r="H147" s="19"/>
      <c r="I147" s="18"/>
      <c r="J147" s="18"/>
      <c r="K147" s="18"/>
      <c r="L147" s="18"/>
      <c r="M147" s="18"/>
      <c r="N147" s="18"/>
      <c r="O147" s="18"/>
      <c r="R147" s="18"/>
      <c r="S147" s="18"/>
      <c r="T147" s="20"/>
    </row>
    <row r="148" spans="7:20" x14ac:dyDescent="0.2">
      <c r="G148" s="18"/>
      <c r="H148" s="19"/>
      <c r="I148" s="18"/>
      <c r="J148" s="18"/>
      <c r="K148" s="18"/>
      <c r="L148" s="18"/>
      <c r="M148" s="18"/>
      <c r="N148" s="18"/>
      <c r="O148" s="18"/>
      <c r="R148" s="18"/>
      <c r="S148" s="18"/>
      <c r="T148" s="20"/>
    </row>
    <row r="149" spans="7:20" x14ac:dyDescent="0.2">
      <c r="G149" s="18"/>
      <c r="H149" s="19"/>
      <c r="I149" s="18"/>
      <c r="J149" s="18"/>
      <c r="K149" s="18"/>
      <c r="L149" s="18"/>
      <c r="M149" s="18"/>
      <c r="N149" s="18"/>
      <c r="O149" s="18"/>
      <c r="R149" s="18"/>
      <c r="S149" s="18"/>
      <c r="T149" s="20"/>
    </row>
    <row r="150" spans="7:20" x14ac:dyDescent="0.2">
      <c r="G150" s="18"/>
      <c r="H150" s="19"/>
      <c r="I150" s="18"/>
      <c r="J150" s="18"/>
      <c r="K150" s="18"/>
      <c r="L150" s="18"/>
      <c r="M150" s="18"/>
      <c r="N150" s="18"/>
      <c r="O150" s="18"/>
      <c r="R150" s="18"/>
      <c r="S150" s="18"/>
      <c r="T150" s="20"/>
    </row>
    <row r="151" spans="7:20" x14ac:dyDescent="0.2">
      <c r="G151" s="18"/>
      <c r="H151" s="19"/>
      <c r="I151" s="18"/>
      <c r="J151" s="18"/>
      <c r="K151" s="18"/>
      <c r="L151" s="18"/>
      <c r="M151" s="18"/>
      <c r="N151" s="18"/>
      <c r="O151" s="18"/>
      <c r="R151" s="18"/>
      <c r="S151" s="18"/>
      <c r="T151" s="20"/>
    </row>
    <row r="152" spans="7:20" x14ac:dyDescent="0.2">
      <c r="G152" s="18"/>
      <c r="H152" s="19"/>
      <c r="I152" s="18"/>
      <c r="J152" s="18"/>
      <c r="K152" s="18"/>
      <c r="L152" s="18"/>
      <c r="M152" s="18"/>
      <c r="N152" s="18"/>
      <c r="O152" s="18"/>
      <c r="R152" s="18"/>
      <c r="S152" s="18"/>
      <c r="T152" s="20"/>
    </row>
    <row r="153" spans="7:20" x14ac:dyDescent="0.2">
      <c r="G153" s="18"/>
      <c r="H153" s="19"/>
      <c r="I153" s="18"/>
      <c r="J153" s="18"/>
      <c r="K153" s="18"/>
      <c r="L153" s="18"/>
      <c r="M153" s="18"/>
      <c r="N153" s="18"/>
      <c r="O153" s="18"/>
      <c r="R153" s="18"/>
      <c r="S153" s="18"/>
      <c r="T153" s="20"/>
    </row>
    <row r="154" spans="7:20" x14ac:dyDescent="0.2">
      <c r="G154" s="18"/>
      <c r="H154" s="19"/>
      <c r="I154" s="18"/>
      <c r="J154" s="18"/>
      <c r="K154" s="18"/>
      <c r="L154" s="18"/>
      <c r="M154" s="18"/>
      <c r="N154" s="18"/>
      <c r="O154" s="18"/>
      <c r="R154" s="18"/>
      <c r="S154" s="18"/>
      <c r="T154" s="20"/>
    </row>
    <row r="155" spans="7:20" x14ac:dyDescent="0.2">
      <c r="G155" s="18"/>
      <c r="H155" s="19"/>
      <c r="I155" s="18"/>
      <c r="J155" s="18"/>
      <c r="K155" s="18"/>
      <c r="L155" s="18"/>
      <c r="M155" s="18"/>
      <c r="N155" s="18"/>
      <c r="O155" s="18"/>
      <c r="R155" s="18"/>
      <c r="S155" s="18"/>
      <c r="T155" s="20"/>
    </row>
    <row r="156" spans="7:20" x14ac:dyDescent="0.2">
      <c r="G156" s="18"/>
      <c r="H156" s="19"/>
      <c r="I156" s="18"/>
      <c r="J156" s="18"/>
      <c r="K156" s="18"/>
      <c r="L156" s="18"/>
      <c r="M156" s="18"/>
      <c r="N156" s="18"/>
      <c r="O156" s="18"/>
      <c r="R156" s="18"/>
      <c r="S156" s="18"/>
      <c r="T156" s="20"/>
    </row>
    <row r="157" spans="7:20" x14ac:dyDescent="0.2">
      <c r="G157" s="18"/>
      <c r="H157" s="19"/>
      <c r="I157" s="18"/>
      <c r="J157" s="18"/>
      <c r="K157" s="18"/>
      <c r="L157" s="18"/>
      <c r="M157" s="18"/>
      <c r="N157" s="18"/>
      <c r="O157" s="18"/>
      <c r="R157" s="18"/>
      <c r="S157" s="18"/>
      <c r="T157" s="20"/>
    </row>
    <row r="158" spans="7:20" x14ac:dyDescent="0.2">
      <c r="G158" s="18"/>
      <c r="H158" s="19"/>
      <c r="I158" s="18"/>
      <c r="J158" s="18"/>
      <c r="K158" s="18"/>
      <c r="L158" s="18"/>
      <c r="M158" s="18"/>
      <c r="N158" s="18"/>
      <c r="O158" s="18"/>
      <c r="R158" s="18"/>
      <c r="S158" s="18"/>
      <c r="T158" s="20"/>
    </row>
    <row r="159" spans="7:20" x14ac:dyDescent="0.2">
      <c r="G159" s="18"/>
      <c r="H159" s="19"/>
      <c r="I159" s="18"/>
      <c r="J159" s="18"/>
      <c r="K159" s="18"/>
      <c r="L159" s="18"/>
      <c r="M159" s="18"/>
      <c r="N159" s="18"/>
      <c r="O159" s="18"/>
      <c r="R159" s="18"/>
      <c r="S159" s="18"/>
      <c r="T159" s="20"/>
    </row>
    <row r="160" spans="7:20" x14ac:dyDescent="0.2">
      <c r="G160" s="18"/>
      <c r="H160" s="19"/>
      <c r="I160" s="18"/>
      <c r="J160" s="18"/>
      <c r="K160" s="18"/>
      <c r="L160" s="18"/>
      <c r="M160" s="18"/>
      <c r="N160" s="18"/>
      <c r="O160" s="18"/>
      <c r="R160" s="18"/>
      <c r="S160" s="18"/>
      <c r="T160" s="20"/>
    </row>
    <row r="161" spans="7:20" x14ac:dyDescent="0.2">
      <c r="G161" s="18"/>
      <c r="H161" s="19"/>
      <c r="I161" s="18"/>
      <c r="J161" s="18"/>
      <c r="K161" s="18"/>
      <c r="L161" s="18"/>
      <c r="M161" s="18"/>
      <c r="N161" s="18"/>
      <c r="O161" s="18"/>
      <c r="R161" s="18"/>
      <c r="S161" s="18"/>
      <c r="T161" s="20"/>
    </row>
    <row r="162" spans="7:20" x14ac:dyDescent="0.2">
      <c r="G162" s="18"/>
      <c r="H162" s="19"/>
      <c r="I162" s="18"/>
      <c r="J162" s="18"/>
      <c r="K162" s="18"/>
      <c r="L162" s="18"/>
      <c r="M162" s="18"/>
      <c r="N162" s="18"/>
      <c r="O162" s="18"/>
      <c r="R162" s="18"/>
      <c r="S162" s="18"/>
      <c r="T162" s="20"/>
    </row>
    <row r="163" spans="7:20" x14ac:dyDescent="0.2">
      <c r="G163" s="18"/>
      <c r="H163" s="19"/>
      <c r="I163" s="18"/>
      <c r="J163" s="18"/>
      <c r="K163" s="18"/>
      <c r="L163" s="18"/>
      <c r="M163" s="18"/>
      <c r="N163" s="18"/>
      <c r="O163" s="18"/>
      <c r="R163" s="18"/>
      <c r="S163" s="18"/>
      <c r="T163" s="20"/>
    </row>
    <row r="164" spans="7:20" x14ac:dyDescent="0.2">
      <c r="G164" s="18"/>
      <c r="H164" s="19"/>
      <c r="I164" s="18"/>
      <c r="J164" s="18"/>
      <c r="K164" s="18"/>
      <c r="L164" s="18"/>
      <c r="M164" s="18"/>
      <c r="N164" s="18"/>
      <c r="O164" s="18"/>
      <c r="R164" s="18"/>
      <c r="S164" s="18"/>
      <c r="T164" s="20"/>
    </row>
    <row r="165" spans="7:20" x14ac:dyDescent="0.2">
      <c r="G165" s="18"/>
      <c r="H165" s="19"/>
      <c r="I165" s="18"/>
      <c r="J165" s="18"/>
      <c r="K165" s="18"/>
      <c r="L165" s="18"/>
      <c r="M165" s="18"/>
      <c r="N165" s="18"/>
      <c r="O165" s="18"/>
      <c r="R165" s="18"/>
      <c r="S165" s="18"/>
      <c r="T165" s="20"/>
    </row>
    <row r="166" spans="7:20" x14ac:dyDescent="0.2">
      <c r="G166" s="18"/>
      <c r="H166" s="19"/>
      <c r="I166" s="18"/>
      <c r="J166" s="18"/>
      <c r="K166" s="18"/>
      <c r="L166" s="18"/>
      <c r="M166" s="18"/>
      <c r="N166" s="18"/>
      <c r="O166" s="18"/>
      <c r="R166" s="18"/>
      <c r="S166" s="18"/>
      <c r="T166" s="20"/>
    </row>
    <row r="167" spans="7:20" x14ac:dyDescent="0.2">
      <c r="G167" s="18"/>
      <c r="H167" s="19"/>
      <c r="I167" s="18"/>
      <c r="J167" s="18"/>
      <c r="K167" s="18"/>
      <c r="L167" s="18"/>
      <c r="M167" s="18"/>
      <c r="N167" s="18"/>
      <c r="O167" s="18"/>
      <c r="R167" s="18"/>
      <c r="S167" s="18"/>
      <c r="T167" s="20"/>
    </row>
    <row r="168" spans="7:20" x14ac:dyDescent="0.2">
      <c r="G168" s="18"/>
      <c r="H168" s="19"/>
      <c r="I168" s="18"/>
      <c r="J168" s="18"/>
      <c r="K168" s="18"/>
      <c r="L168" s="18"/>
      <c r="M168" s="18"/>
      <c r="N168" s="18"/>
      <c r="O168" s="18"/>
      <c r="R168" s="18"/>
      <c r="S168" s="18"/>
      <c r="T168" s="20"/>
    </row>
    <row r="169" spans="7:20" x14ac:dyDescent="0.2">
      <c r="G169" s="18"/>
      <c r="H169" s="19"/>
      <c r="I169" s="18"/>
      <c r="J169" s="18"/>
      <c r="K169" s="18"/>
      <c r="L169" s="18"/>
      <c r="M169" s="18"/>
      <c r="N169" s="18"/>
      <c r="O169" s="18"/>
      <c r="R169" s="18"/>
      <c r="S169" s="18"/>
      <c r="T169" s="20"/>
    </row>
    <row r="170" spans="7:20" x14ac:dyDescent="0.2">
      <c r="G170" s="18"/>
      <c r="H170" s="19"/>
      <c r="I170" s="18"/>
      <c r="J170" s="18"/>
      <c r="K170" s="18"/>
      <c r="L170" s="18"/>
      <c r="M170" s="18"/>
      <c r="N170" s="18"/>
      <c r="O170" s="18"/>
      <c r="R170" s="18"/>
      <c r="S170" s="18"/>
      <c r="T170" s="20"/>
    </row>
    <row r="171" spans="7:20" x14ac:dyDescent="0.2">
      <c r="G171" s="18"/>
      <c r="H171" s="19"/>
      <c r="I171" s="18"/>
      <c r="J171" s="18"/>
      <c r="K171" s="18"/>
      <c r="L171" s="18"/>
      <c r="M171" s="18"/>
      <c r="N171" s="18"/>
      <c r="O171" s="18"/>
      <c r="R171" s="18"/>
      <c r="S171" s="18"/>
      <c r="T171" s="20"/>
    </row>
    <row r="172" spans="7:20" x14ac:dyDescent="0.2">
      <c r="G172" s="18"/>
      <c r="H172" s="19"/>
      <c r="I172" s="18"/>
      <c r="J172" s="18"/>
      <c r="K172" s="18"/>
      <c r="L172" s="18"/>
      <c r="M172" s="18"/>
      <c r="N172" s="18"/>
      <c r="O172" s="18"/>
      <c r="R172" s="18"/>
      <c r="S172" s="18"/>
      <c r="T172" s="20"/>
    </row>
    <row r="173" spans="7:20" x14ac:dyDescent="0.2">
      <c r="G173" s="18"/>
      <c r="H173" s="19"/>
      <c r="I173" s="18"/>
      <c r="J173" s="18"/>
      <c r="K173" s="18"/>
      <c r="L173" s="18"/>
      <c r="M173" s="18"/>
      <c r="N173" s="18"/>
      <c r="O173" s="18"/>
      <c r="R173" s="18"/>
      <c r="S173" s="18"/>
      <c r="T173" s="20"/>
    </row>
    <row r="174" spans="7:20" x14ac:dyDescent="0.2">
      <c r="G174" s="18"/>
      <c r="H174" s="19"/>
      <c r="I174" s="18"/>
      <c r="J174" s="18"/>
      <c r="K174" s="18"/>
      <c r="L174" s="18"/>
      <c r="M174" s="18"/>
      <c r="N174" s="18"/>
      <c r="O174" s="18"/>
      <c r="R174" s="18"/>
      <c r="S174" s="18"/>
      <c r="T174" s="20"/>
    </row>
    <row r="175" spans="7:20" x14ac:dyDescent="0.2">
      <c r="G175" s="18"/>
      <c r="H175" s="19"/>
      <c r="I175" s="18"/>
      <c r="J175" s="18"/>
      <c r="K175" s="18"/>
      <c r="L175" s="18"/>
      <c r="M175" s="18"/>
      <c r="N175" s="18"/>
      <c r="O175" s="18"/>
      <c r="R175" s="18"/>
      <c r="S175" s="18"/>
      <c r="T175" s="20"/>
    </row>
    <row r="176" spans="7:20" x14ac:dyDescent="0.2">
      <c r="G176" s="18"/>
      <c r="H176" s="19"/>
      <c r="I176" s="18"/>
      <c r="J176" s="18"/>
      <c r="K176" s="18"/>
      <c r="L176" s="18"/>
      <c r="M176" s="18"/>
      <c r="N176" s="18"/>
      <c r="O176" s="18"/>
      <c r="R176" s="18"/>
      <c r="S176" s="18"/>
      <c r="T176" s="20"/>
    </row>
    <row r="177" spans="7:20" x14ac:dyDescent="0.2">
      <c r="G177" s="18"/>
      <c r="H177" s="19"/>
      <c r="I177" s="18"/>
      <c r="J177" s="18"/>
      <c r="K177" s="18"/>
      <c r="L177" s="18"/>
      <c r="M177" s="18"/>
      <c r="N177" s="18"/>
      <c r="O177" s="18"/>
      <c r="R177" s="18"/>
      <c r="S177" s="18"/>
      <c r="T177" s="20"/>
    </row>
    <row r="178" spans="7:20" x14ac:dyDescent="0.2">
      <c r="G178" s="18"/>
      <c r="H178" s="19"/>
      <c r="I178" s="18"/>
      <c r="J178" s="18"/>
      <c r="K178" s="18"/>
      <c r="L178" s="18"/>
      <c r="M178" s="18"/>
      <c r="N178" s="18"/>
      <c r="O178" s="18"/>
      <c r="R178" s="18"/>
      <c r="S178" s="18"/>
      <c r="T178" s="20"/>
    </row>
    <row r="179" spans="7:20" x14ac:dyDescent="0.2">
      <c r="G179" s="18"/>
      <c r="H179" s="19"/>
      <c r="I179" s="18"/>
      <c r="J179" s="18"/>
      <c r="K179" s="18"/>
      <c r="L179" s="18"/>
      <c r="M179" s="18"/>
      <c r="N179" s="18"/>
      <c r="O179" s="18"/>
      <c r="R179" s="18"/>
      <c r="S179" s="18"/>
      <c r="T179" s="20"/>
    </row>
    <row r="180" spans="7:20" x14ac:dyDescent="0.2">
      <c r="G180" s="18"/>
      <c r="H180" s="19"/>
      <c r="I180" s="18"/>
      <c r="J180" s="18"/>
      <c r="K180" s="18"/>
      <c r="L180" s="18"/>
      <c r="M180" s="18"/>
      <c r="N180" s="18"/>
      <c r="O180" s="18"/>
      <c r="R180" s="18"/>
      <c r="S180" s="18"/>
      <c r="T180" s="20"/>
    </row>
    <row r="181" spans="7:20" x14ac:dyDescent="0.2">
      <c r="G181" s="18"/>
      <c r="H181" s="19"/>
      <c r="I181" s="18"/>
      <c r="J181" s="18"/>
      <c r="K181" s="18"/>
      <c r="L181" s="18"/>
      <c r="M181" s="18"/>
      <c r="N181" s="18"/>
      <c r="O181" s="18"/>
      <c r="R181" s="18"/>
      <c r="S181" s="18"/>
      <c r="T181" s="20"/>
    </row>
    <row r="182" spans="7:20" x14ac:dyDescent="0.2">
      <c r="G182" s="18"/>
      <c r="H182" s="19"/>
      <c r="I182" s="18"/>
      <c r="J182" s="18"/>
      <c r="K182" s="18"/>
      <c r="L182" s="18"/>
      <c r="M182" s="18"/>
      <c r="N182" s="18"/>
      <c r="O182" s="18"/>
      <c r="R182" s="18"/>
      <c r="S182" s="18"/>
      <c r="T182" s="20"/>
    </row>
    <row r="183" spans="7:20" x14ac:dyDescent="0.2">
      <c r="G183" s="18"/>
      <c r="H183" s="19"/>
      <c r="I183" s="18"/>
      <c r="J183" s="18"/>
      <c r="K183" s="18"/>
      <c r="L183" s="18"/>
      <c r="M183" s="18"/>
      <c r="N183" s="18"/>
      <c r="O183" s="18"/>
      <c r="R183" s="18"/>
      <c r="S183" s="18"/>
      <c r="T183" s="20"/>
    </row>
    <row r="184" spans="7:20" x14ac:dyDescent="0.2">
      <c r="G184" s="18"/>
      <c r="H184" s="19"/>
      <c r="I184" s="18"/>
      <c r="J184" s="18"/>
      <c r="K184" s="18"/>
      <c r="L184" s="18"/>
      <c r="M184" s="18"/>
      <c r="N184" s="18"/>
      <c r="O184" s="18"/>
      <c r="R184" s="18"/>
      <c r="S184" s="18"/>
      <c r="T184" s="20"/>
    </row>
    <row r="185" spans="7:20" x14ac:dyDescent="0.2">
      <c r="G185" s="18"/>
      <c r="H185" s="19"/>
      <c r="I185" s="18"/>
      <c r="J185" s="18"/>
      <c r="K185" s="18"/>
      <c r="L185" s="18"/>
      <c r="M185" s="18"/>
      <c r="N185" s="18"/>
      <c r="O185" s="18"/>
      <c r="R185" s="18"/>
      <c r="S185" s="18"/>
      <c r="T185" s="20"/>
    </row>
    <row r="186" spans="7:20" x14ac:dyDescent="0.2">
      <c r="G186" s="18"/>
      <c r="H186" s="19"/>
      <c r="I186" s="18"/>
      <c r="J186" s="18"/>
      <c r="K186" s="18"/>
      <c r="L186" s="18"/>
      <c r="M186" s="18"/>
      <c r="N186" s="18"/>
      <c r="O186" s="18"/>
      <c r="R186" s="18"/>
      <c r="S186" s="18"/>
      <c r="T186" s="20"/>
    </row>
    <row r="187" spans="7:20" x14ac:dyDescent="0.2">
      <c r="G187" s="18"/>
      <c r="H187" s="19"/>
      <c r="I187" s="18"/>
      <c r="J187" s="18"/>
      <c r="K187" s="18"/>
      <c r="L187" s="18"/>
      <c r="M187" s="18"/>
      <c r="N187" s="18"/>
      <c r="O187" s="18"/>
      <c r="R187" s="18"/>
      <c r="S187" s="18"/>
      <c r="T187" s="20"/>
    </row>
    <row r="188" spans="7:20" x14ac:dyDescent="0.2">
      <c r="G188" s="18"/>
      <c r="H188" s="19"/>
      <c r="I188" s="18"/>
      <c r="J188" s="18"/>
      <c r="K188" s="18"/>
      <c r="L188" s="18"/>
      <c r="M188" s="18"/>
      <c r="N188" s="18"/>
      <c r="O188" s="18"/>
      <c r="R188" s="18"/>
      <c r="S188" s="18"/>
      <c r="T188" s="20"/>
    </row>
    <row r="189" spans="7:20" x14ac:dyDescent="0.2">
      <c r="G189" s="18"/>
      <c r="H189" s="19"/>
      <c r="I189" s="18"/>
      <c r="J189" s="18"/>
      <c r="K189" s="18"/>
      <c r="L189" s="18"/>
      <c r="M189" s="18"/>
      <c r="N189" s="18"/>
      <c r="O189" s="18"/>
      <c r="R189" s="18"/>
      <c r="S189" s="18"/>
      <c r="T189" s="20"/>
    </row>
    <row r="190" spans="7:20" x14ac:dyDescent="0.2">
      <c r="G190" s="18"/>
      <c r="H190" s="19"/>
      <c r="I190" s="18"/>
      <c r="J190" s="18"/>
      <c r="K190" s="18"/>
      <c r="L190" s="18"/>
      <c r="M190" s="18"/>
      <c r="N190" s="18"/>
      <c r="O190" s="18"/>
      <c r="R190" s="18"/>
      <c r="S190" s="18"/>
      <c r="T190" s="20"/>
    </row>
    <row r="191" spans="7:20" x14ac:dyDescent="0.2">
      <c r="G191" s="18"/>
      <c r="H191" s="19"/>
      <c r="I191" s="18"/>
      <c r="J191" s="18"/>
      <c r="K191" s="18"/>
      <c r="L191" s="18"/>
      <c r="M191" s="18"/>
      <c r="N191" s="18"/>
      <c r="O191" s="18"/>
      <c r="R191" s="18"/>
      <c r="S191" s="18"/>
      <c r="T191" s="20"/>
    </row>
    <row r="192" spans="7:20" x14ac:dyDescent="0.2">
      <c r="G192" s="18"/>
      <c r="H192" s="19"/>
      <c r="I192" s="18"/>
      <c r="J192" s="18"/>
      <c r="K192" s="18"/>
      <c r="L192" s="18"/>
      <c r="M192" s="18"/>
      <c r="N192" s="18"/>
      <c r="O192" s="18"/>
      <c r="R192" s="18"/>
      <c r="S192" s="18"/>
      <c r="T192" s="20"/>
    </row>
    <row r="193" spans="7:20" x14ac:dyDescent="0.2">
      <c r="G193" s="18"/>
      <c r="H193" s="19"/>
      <c r="I193" s="18"/>
      <c r="J193" s="18"/>
      <c r="K193" s="18"/>
      <c r="L193" s="18"/>
      <c r="M193" s="18"/>
      <c r="N193" s="18"/>
      <c r="O193" s="18"/>
      <c r="R193" s="18"/>
      <c r="S193" s="18"/>
      <c r="T193" s="20"/>
    </row>
    <row r="194" spans="7:20" x14ac:dyDescent="0.2">
      <c r="G194" s="18"/>
      <c r="H194" s="19"/>
      <c r="I194" s="18"/>
      <c r="J194" s="18"/>
      <c r="K194" s="18"/>
      <c r="L194" s="18"/>
      <c r="M194" s="18"/>
      <c r="N194" s="18"/>
      <c r="O194" s="18"/>
      <c r="R194" s="18"/>
      <c r="S194" s="18"/>
      <c r="T194" s="20"/>
    </row>
    <row r="195" spans="7:20" x14ac:dyDescent="0.2">
      <c r="G195" s="18"/>
      <c r="H195" s="19"/>
      <c r="I195" s="18"/>
      <c r="J195" s="18"/>
      <c r="K195" s="18"/>
      <c r="L195" s="18"/>
      <c r="M195" s="18"/>
      <c r="N195" s="18"/>
      <c r="O195" s="18"/>
      <c r="R195" s="18"/>
      <c r="S195" s="18"/>
      <c r="T195" s="20"/>
    </row>
    <row r="196" spans="7:20" x14ac:dyDescent="0.2">
      <c r="G196" s="18"/>
      <c r="H196" s="19"/>
      <c r="I196" s="18"/>
      <c r="J196" s="18"/>
      <c r="K196" s="18"/>
      <c r="L196" s="18"/>
      <c r="M196" s="18"/>
      <c r="N196" s="18"/>
      <c r="O196" s="18"/>
      <c r="R196" s="18"/>
      <c r="S196" s="18"/>
      <c r="T196" s="20"/>
    </row>
    <row r="197" spans="7:20" x14ac:dyDescent="0.2">
      <c r="G197" s="18"/>
      <c r="H197" s="19"/>
      <c r="I197" s="18"/>
      <c r="J197" s="18"/>
      <c r="K197" s="18"/>
      <c r="L197" s="18"/>
      <c r="M197" s="18"/>
      <c r="N197" s="18"/>
      <c r="O197" s="18"/>
      <c r="R197" s="18"/>
      <c r="S197" s="18"/>
      <c r="T197" s="20"/>
    </row>
    <row r="198" spans="7:20" x14ac:dyDescent="0.2">
      <c r="G198" s="18"/>
      <c r="H198" s="19"/>
      <c r="I198" s="18"/>
      <c r="J198" s="18"/>
      <c r="K198" s="18"/>
      <c r="L198" s="18"/>
      <c r="M198" s="18"/>
      <c r="N198" s="18"/>
      <c r="O198" s="18"/>
      <c r="R198" s="18"/>
      <c r="S198" s="18"/>
      <c r="T198" s="20"/>
    </row>
    <row r="199" spans="7:20" x14ac:dyDescent="0.2">
      <c r="G199" s="18"/>
      <c r="H199" s="19"/>
      <c r="I199" s="18"/>
      <c r="J199" s="18"/>
      <c r="K199" s="18"/>
      <c r="L199" s="18"/>
      <c r="M199" s="18"/>
      <c r="N199" s="18"/>
      <c r="O199" s="18"/>
      <c r="R199" s="18"/>
      <c r="S199" s="18"/>
      <c r="T199" s="20"/>
    </row>
    <row r="200" spans="7:20" x14ac:dyDescent="0.2">
      <c r="G200" s="18"/>
      <c r="H200" s="19"/>
      <c r="I200" s="18"/>
      <c r="J200" s="18"/>
      <c r="K200" s="18"/>
      <c r="L200" s="18"/>
      <c r="M200" s="18"/>
      <c r="N200" s="18"/>
      <c r="O200" s="18"/>
      <c r="R200" s="18"/>
      <c r="S200" s="18"/>
      <c r="T200" s="20"/>
    </row>
    <row r="201" spans="7:20" x14ac:dyDescent="0.2">
      <c r="G201" s="18"/>
      <c r="H201" s="19"/>
      <c r="I201" s="18"/>
      <c r="J201" s="18"/>
      <c r="K201" s="18"/>
      <c r="L201" s="18"/>
      <c r="M201" s="18"/>
      <c r="N201" s="18"/>
      <c r="O201" s="18"/>
      <c r="R201" s="18"/>
      <c r="S201" s="18"/>
      <c r="T201" s="20"/>
    </row>
    <row r="202" spans="7:20" x14ac:dyDescent="0.2">
      <c r="G202" s="18"/>
      <c r="H202" s="19"/>
      <c r="I202" s="18"/>
      <c r="J202" s="18"/>
      <c r="K202" s="18"/>
      <c r="L202" s="18"/>
      <c r="M202" s="18"/>
      <c r="N202" s="18"/>
      <c r="O202" s="18"/>
      <c r="R202" s="18"/>
      <c r="S202" s="18"/>
      <c r="T202" s="20"/>
    </row>
    <row r="203" spans="7:20" x14ac:dyDescent="0.2">
      <c r="G203" s="18"/>
      <c r="H203" s="19"/>
      <c r="I203" s="18"/>
      <c r="J203" s="18"/>
      <c r="K203" s="18"/>
      <c r="L203" s="18"/>
      <c r="M203" s="18"/>
      <c r="N203" s="18"/>
      <c r="O203" s="18"/>
      <c r="R203" s="18"/>
      <c r="S203" s="18"/>
      <c r="T203" s="20"/>
    </row>
    <row r="204" spans="7:20" x14ac:dyDescent="0.2">
      <c r="G204" s="18"/>
      <c r="H204" s="19"/>
      <c r="I204" s="18"/>
      <c r="J204" s="18"/>
      <c r="K204" s="18"/>
      <c r="L204" s="18"/>
      <c r="M204" s="18"/>
      <c r="N204" s="18"/>
      <c r="O204" s="18"/>
      <c r="R204" s="18"/>
      <c r="S204" s="18"/>
      <c r="T204" s="20"/>
    </row>
    <row r="205" spans="7:20" x14ac:dyDescent="0.2">
      <c r="G205" s="18"/>
      <c r="H205" s="19"/>
      <c r="I205" s="18"/>
      <c r="J205" s="18"/>
      <c r="K205" s="18"/>
      <c r="L205" s="18"/>
      <c r="M205" s="18"/>
      <c r="N205" s="18"/>
      <c r="O205" s="18"/>
      <c r="R205" s="18"/>
      <c r="S205" s="18"/>
      <c r="T205" s="20"/>
    </row>
    <row r="206" spans="7:20" x14ac:dyDescent="0.2">
      <c r="G206" s="18"/>
      <c r="H206" s="19"/>
      <c r="I206" s="18"/>
      <c r="J206" s="18"/>
      <c r="K206" s="18"/>
      <c r="L206" s="18"/>
      <c r="M206" s="18"/>
      <c r="N206" s="18"/>
      <c r="O206" s="18"/>
      <c r="R206" s="18"/>
      <c r="S206" s="18"/>
      <c r="T206" s="20"/>
    </row>
    <row r="207" spans="7:20" x14ac:dyDescent="0.2">
      <c r="G207" s="18"/>
      <c r="H207" s="19"/>
      <c r="I207" s="18"/>
      <c r="J207" s="18"/>
      <c r="K207" s="18"/>
      <c r="L207" s="18"/>
      <c r="M207" s="18"/>
      <c r="N207" s="18"/>
      <c r="O207" s="18"/>
      <c r="R207" s="18"/>
      <c r="S207" s="18"/>
      <c r="T207" s="20"/>
    </row>
    <row r="208" spans="7:20" x14ac:dyDescent="0.2">
      <c r="G208" s="18"/>
      <c r="H208" s="19"/>
      <c r="I208" s="18"/>
      <c r="J208" s="18"/>
      <c r="K208" s="18"/>
      <c r="L208" s="18"/>
      <c r="M208" s="18"/>
      <c r="N208" s="18"/>
      <c r="O208" s="18"/>
      <c r="R208" s="18"/>
      <c r="S208" s="18"/>
      <c r="T208" s="20"/>
    </row>
    <row r="209" spans="7:20" x14ac:dyDescent="0.2">
      <c r="G209" s="18"/>
      <c r="H209" s="19"/>
      <c r="I209" s="18"/>
      <c r="J209" s="18"/>
      <c r="K209" s="18"/>
      <c r="L209" s="18"/>
      <c r="M209" s="18"/>
      <c r="N209" s="18"/>
      <c r="O209" s="18"/>
      <c r="R209" s="18"/>
      <c r="S209" s="18"/>
      <c r="T209" s="20"/>
    </row>
    <row r="210" spans="7:20" x14ac:dyDescent="0.2">
      <c r="G210" s="18"/>
      <c r="H210" s="19"/>
      <c r="I210" s="18"/>
      <c r="J210" s="18"/>
      <c r="K210" s="18"/>
      <c r="L210" s="18"/>
      <c r="M210" s="18"/>
      <c r="N210" s="18"/>
      <c r="O210" s="18"/>
      <c r="R210" s="18"/>
      <c r="S210" s="18"/>
      <c r="T210" s="20"/>
    </row>
    <row r="211" spans="7:20" x14ac:dyDescent="0.2">
      <c r="G211" s="18"/>
      <c r="H211" s="19"/>
      <c r="I211" s="18"/>
      <c r="J211" s="18"/>
      <c r="K211" s="18"/>
      <c r="L211" s="18"/>
      <c r="M211" s="18"/>
      <c r="N211" s="18"/>
      <c r="O211" s="18"/>
      <c r="R211" s="18"/>
      <c r="S211" s="18"/>
      <c r="T211" s="20"/>
    </row>
    <row r="212" spans="7:20" x14ac:dyDescent="0.2">
      <c r="G212" s="18"/>
      <c r="H212" s="19"/>
      <c r="I212" s="18"/>
      <c r="J212" s="18"/>
      <c r="K212" s="18"/>
      <c r="L212" s="18"/>
      <c r="M212" s="18"/>
      <c r="N212" s="18"/>
      <c r="O212" s="18"/>
      <c r="R212" s="18"/>
      <c r="S212" s="18"/>
      <c r="T212" s="20"/>
    </row>
    <row r="213" spans="7:20" x14ac:dyDescent="0.2">
      <c r="G213" s="18"/>
      <c r="H213" s="19"/>
      <c r="I213" s="18"/>
      <c r="J213" s="18"/>
      <c r="K213" s="18"/>
      <c r="L213" s="18"/>
      <c r="M213" s="18"/>
      <c r="N213" s="18"/>
      <c r="O213" s="18"/>
      <c r="R213" s="18"/>
      <c r="S213" s="18"/>
      <c r="T213" s="20"/>
    </row>
    <row r="214" spans="7:20" x14ac:dyDescent="0.2">
      <c r="G214" s="18"/>
      <c r="H214" s="19"/>
      <c r="I214" s="18"/>
      <c r="J214" s="18"/>
      <c r="K214" s="18"/>
      <c r="L214" s="18"/>
      <c r="M214" s="18"/>
      <c r="N214" s="18"/>
      <c r="O214" s="18"/>
      <c r="R214" s="18"/>
      <c r="S214" s="18"/>
      <c r="T214" s="20"/>
    </row>
    <row r="215" spans="7:20" x14ac:dyDescent="0.2">
      <c r="G215" s="18"/>
      <c r="H215" s="19"/>
      <c r="I215" s="18"/>
      <c r="J215" s="18"/>
      <c r="K215" s="18"/>
      <c r="L215" s="18"/>
      <c r="M215" s="18"/>
      <c r="N215" s="18"/>
      <c r="O215" s="18"/>
      <c r="R215" s="18"/>
      <c r="S215" s="18"/>
      <c r="T215" s="20"/>
    </row>
    <row r="216" spans="7:20" x14ac:dyDescent="0.2">
      <c r="G216" s="18"/>
      <c r="H216" s="19"/>
      <c r="I216" s="18"/>
      <c r="J216" s="18"/>
      <c r="K216" s="18"/>
      <c r="L216" s="18"/>
      <c r="M216" s="18"/>
      <c r="N216" s="18"/>
      <c r="O216" s="18"/>
      <c r="R216" s="18"/>
      <c r="S216" s="18"/>
      <c r="T216" s="20"/>
    </row>
    <row r="217" spans="7:20" x14ac:dyDescent="0.2">
      <c r="G217" s="18"/>
      <c r="H217" s="19"/>
      <c r="I217" s="18"/>
      <c r="J217" s="18"/>
      <c r="K217" s="18"/>
      <c r="L217" s="18"/>
      <c r="M217" s="18"/>
      <c r="N217" s="18"/>
      <c r="O217" s="18"/>
      <c r="R217" s="18"/>
      <c r="S217" s="18"/>
      <c r="T217" s="20"/>
    </row>
    <row r="218" spans="7:20" x14ac:dyDescent="0.2">
      <c r="G218" s="18"/>
      <c r="H218" s="19"/>
      <c r="I218" s="18"/>
      <c r="J218" s="18"/>
      <c r="K218" s="18"/>
      <c r="L218" s="18"/>
      <c r="M218" s="18"/>
      <c r="N218" s="18"/>
      <c r="O218" s="18"/>
      <c r="R218" s="18"/>
      <c r="S218" s="18"/>
      <c r="T218" s="20"/>
    </row>
    <row r="219" spans="7:20" x14ac:dyDescent="0.2">
      <c r="G219" s="18"/>
      <c r="H219" s="19"/>
      <c r="I219" s="18"/>
      <c r="J219" s="18"/>
      <c r="K219" s="18"/>
      <c r="L219" s="18"/>
      <c r="M219" s="18"/>
      <c r="N219" s="18"/>
      <c r="O219" s="18"/>
      <c r="R219" s="18"/>
      <c r="S219" s="18"/>
      <c r="T219" s="20"/>
    </row>
    <row r="220" spans="7:20" x14ac:dyDescent="0.2">
      <c r="G220" s="18"/>
      <c r="H220" s="19"/>
      <c r="I220" s="18"/>
      <c r="J220" s="18"/>
      <c r="K220" s="18"/>
      <c r="L220" s="18"/>
      <c r="M220" s="18"/>
      <c r="N220" s="18"/>
      <c r="O220" s="18"/>
      <c r="R220" s="18"/>
      <c r="S220" s="18"/>
      <c r="T220" s="20"/>
    </row>
    <row r="221" spans="7:20" x14ac:dyDescent="0.2">
      <c r="G221" s="18"/>
      <c r="H221" s="19"/>
      <c r="I221" s="18"/>
      <c r="J221" s="18"/>
      <c r="K221" s="18"/>
      <c r="L221" s="18"/>
      <c r="M221" s="18"/>
      <c r="N221" s="18"/>
      <c r="O221" s="18"/>
      <c r="R221" s="18"/>
      <c r="S221" s="18"/>
      <c r="T221" s="20"/>
    </row>
    <row r="222" spans="7:20" x14ac:dyDescent="0.2">
      <c r="G222" s="18"/>
      <c r="H222" s="19"/>
      <c r="I222" s="18"/>
      <c r="J222" s="18"/>
      <c r="K222" s="18"/>
      <c r="L222" s="18"/>
      <c r="M222" s="18"/>
      <c r="N222" s="18"/>
      <c r="O222" s="18"/>
      <c r="R222" s="18"/>
      <c r="S222" s="18"/>
      <c r="T222" s="20"/>
    </row>
    <row r="223" spans="7:20" x14ac:dyDescent="0.2">
      <c r="G223" s="18"/>
      <c r="H223" s="19"/>
      <c r="I223" s="18"/>
      <c r="J223" s="18"/>
      <c r="K223" s="18"/>
      <c r="L223" s="18"/>
      <c r="M223" s="18"/>
      <c r="N223" s="18"/>
      <c r="O223" s="18"/>
      <c r="R223" s="18"/>
      <c r="S223" s="18"/>
      <c r="T223" s="20"/>
    </row>
    <row r="224" spans="7:20" x14ac:dyDescent="0.2">
      <c r="G224" s="18"/>
      <c r="H224" s="19"/>
      <c r="I224" s="18"/>
      <c r="J224" s="18"/>
      <c r="K224" s="18"/>
      <c r="L224" s="18"/>
      <c r="M224" s="18"/>
      <c r="N224" s="18"/>
      <c r="O224" s="18"/>
      <c r="R224" s="18"/>
      <c r="S224" s="18"/>
      <c r="T224" s="20"/>
    </row>
    <row r="225" spans="7:20" x14ac:dyDescent="0.2">
      <c r="G225" s="18"/>
      <c r="H225" s="19"/>
      <c r="I225" s="18"/>
      <c r="J225" s="18"/>
      <c r="K225" s="18"/>
      <c r="L225" s="18"/>
      <c r="M225" s="18"/>
      <c r="N225" s="18"/>
      <c r="O225" s="18"/>
      <c r="R225" s="18"/>
      <c r="S225" s="18"/>
      <c r="T225" s="20"/>
    </row>
    <row r="226" spans="7:20" x14ac:dyDescent="0.2">
      <c r="G226" s="18"/>
      <c r="H226" s="19"/>
      <c r="I226" s="18"/>
      <c r="J226" s="18"/>
      <c r="K226" s="18"/>
      <c r="L226" s="18"/>
      <c r="M226" s="18"/>
      <c r="N226" s="18"/>
      <c r="O226" s="18"/>
      <c r="R226" s="18"/>
      <c r="S226" s="18"/>
      <c r="T226" s="20"/>
    </row>
    <row r="227" spans="7:20" x14ac:dyDescent="0.2">
      <c r="G227" s="18"/>
      <c r="H227" s="19"/>
      <c r="I227" s="18"/>
      <c r="J227" s="18"/>
      <c r="K227" s="18"/>
      <c r="L227" s="18"/>
      <c r="M227" s="18"/>
      <c r="N227" s="18"/>
      <c r="O227" s="18"/>
      <c r="R227" s="18"/>
      <c r="S227" s="18"/>
      <c r="T227" s="20"/>
    </row>
    <row r="228" spans="7:20" x14ac:dyDescent="0.2">
      <c r="G228" s="18"/>
      <c r="H228" s="19"/>
      <c r="I228" s="18"/>
      <c r="J228" s="18"/>
      <c r="K228" s="18"/>
      <c r="L228" s="18"/>
      <c r="M228" s="18"/>
      <c r="N228" s="18"/>
      <c r="O228" s="18"/>
      <c r="R228" s="18"/>
      <c r="S228" s="18"/>
      <c r="T228" s="20"/>
    </row>
    <row r="229" spans="7:20" x14ac:dyDescent="0.2">
      <c r="G229" s="18"/>
      <c r="H229" s="19"/>
      <c r="I229" s="18"/>
      <c r="J229" s="18"/>
      <c r="K229" s="18"/>
      <c r="L229" s="18"/>
      <c r="M229" s="18"/>
      <c r="N229" s="18"/>
      <c r="O229" s="18"/>
      <c r="R229" s="18"/>
      <c r="S229" s="18"/>
      <c r="T229" s="20"/>
    </row>
    <row r="230" spans="7:20" x14ac:dyDescent="0.2">
      <c r="G230" s="18"/>
      <c r="H230" s="19"/>
      <c r="I230" s="18"/>
      <c r="J230" s="18"/>
      <c r="K230" s="18"/>
      <c r="L230" s="18"/>
      <c r="M230" s="18"/>
      <c r="N230" s="18"/>
      <c r="O230" s="18"/>
      <c r="R230" s="18"/>
      <c r="S230" s="18"/>
      <c r="T230" s="20"/>
    </row>
    <row r="231" spans="7:20" x14ac:dyDescent="0.2">
      <c r="G231" s="18"/>
      <c r="H231" s="19"/>
      <c r="I231" s="18"/>
      <c r="J231" s="18"/>
      <c r="K231" s="18"/>
      <c r="L231" s="18"/>
      <c r="M231" s="18"/>
      <c r="N231" s="18"/>
      <c r="O231" s="18"/>
      <c r="R231" s="18"/>
      <c r="S231" s="18"/>
      <c r="T231" s="20"/>
    </row>
    <row r="232" spans="7:20" x14ac:dyDescent="0.2">
      <c r="G232" s="18"/>
      <c r="H232" s="19"/>
      <c r="I232" s="18"/>
      <c r="J232" s="18"/>
      <c r="K232" s="18"/>
      <c r="L232" s="18"/>
      <c r="M232" s="18"/>
      <c r="N232" s="18"/>
      <c r="O232" s="18"/>
      <c r="R232" s="18"/>
      <c r="S232" s="18"/>
      <c r="T232" s="20"/>
    </row>
    <row r="233" spans="7:20" x14ac:dyDescent="0.2">
      <c r="G233" s="18"/>
      <c r="H233" s="19"/>
      <c r="I233" s="18"/>
      <c r="J233" s="18"/>
      <c r="K233" s="18"/>
      <c r="L233" s="18"/>
      <c r="M233" s="18"/>
      <c r="N233" s="18"/>
      <c r="O233" s="18"/>
      <c r="R233" s="18"/>
      <c r="S233" s="18"/>
      <c r="T233" s="20"/>
    </row>
    <row r="234" spans="7:20" x14ac:dyDescent="0.2">
      <c r="G234" s="18"/>
      <c r="H234" s="19"/>
      <c r="I234" s="18"/>
      <c r="J234" s="18"/>
      <c r="K234" s="18"/>
      <c r="L234" s="18"/>
      <c r="M234" s="18"/>
      <c r="N234" s="18"/>
      <c r="O234" s="18"/>
      <c r="R234" s="18"/>
      <c r="S234" s="18"/>
      <c r="T234" s="20"/>
    </row>
    <row r="235" spans="7:20" x14ac:dyDescent="0.2">
      <c r="G235" s="18"/>
      <c r="H235" s="19"/>
      <c r="I235" s="18"/>
      <c r="J235" s="18"/>
      <c r="K235" s="18"/>
      <c r="L235" s="18"/>
      <c r="M235" s="18"/>
      <c r="N235" s="18"/>
      <c r="O235" s="18"/>
      <c r="R235" s="18"/>
      <c r="S235" s="18"/>
      <c r="T235" s="20"/>
    </row>
    <row r="236" spans="7:20" x14ac:dyDescent="0.2">
      <c r="G236" s="18"/>
      <c r="H236" s="19"/>
      <c r="I236" s="18"/>
      <c r="J236" s="18"/>
      <c r="K236" s="18"/>
      <c r="L236" s="18"/>
      <c r="M236" s="18"/>
      <c r="N236" s="18"/>
      <c r="O236" s="18"/>
      <c r="R236" s="18"/>
      <c r="S236" s="18"/>
      <c r="T236" s="20"/>
    </row>
    <row r="237" spans="7:20" x14ac:dyDescent="0.2">
      <c r="G237" s="18"/>
      <c r="H237" s="19"/>
      <c r="I237" s="18"/>
      <c r="J237" s="18"/>
      <c r="K237" s="18"/>
      <c r="L237" s="18"/>
      <c r="M237" s="18"/>
      <c r="N237" s="18"/>
      <c r="O237" s="18"/>
      <c r="R237" s="18"/>
      <c r="S237" s="18"/>
      <c r="T237" s="20"/>
    </row>
    <row r="238" spans="7:20" x14ac:dyDescent="0.2">
      <c r="G238" s="18"/>
      <c r="H238" s="19"/>
      <c r="I238" s="18"/>
      <c r="J238" s="18"/>
      <c r="K238" s="18"/>
      <c r="L238" s="18"/>
      <c r="M238" s="18"/>
      <c r="N238" s="18"/>
      <c r="O238" s="18"/>
      <c r="R238" s="18"/>
      <c r="S238" s="18"/>
      <c r="T238" s="20"/>
    </row>
    <row r="239" spans="7:20" x14ac:dyDescent="0.2">
      <c r="G239" s="18"/>
      <c r="H239" s="19"/>
      <c r="I239" s="18"/>
      <c r="J239" s="18"/>
      <c r="K239" s="18"/>
      <c r="L239" s="18"/>
      <c r="M239" s="18"/>
      <c r="N239" s="18"/>
      <c r="O239" s="18"/>
      <c r="R239" s="18"/>
      <c r="S239" s="18"/>
      <c r="T239" s="20"/>
    </row>
    <row r="240" spans="7:20" x14ac:dyDescent="0.2">
      <c r="G240" s="18"/>
      <c r="H240" s="19"/>
      <c r="I240" s="18"/>
      <c r="J240" s="18"/>
      <c r="K240" s="18"/>
      <c r="L240" s="18"/>
      <c r="M240" s="18"/>
      <c r="N240" s="18"/>
      <c r="O240" s="18"/>
      <c r="R240" s="18"/>
      <c r="S240" s="18"/>
      <c r="T240" s="20"/>
    </row>
    <row r="241" spans="7:20" x14ac:dyDescent="0.2">
      <c r="G241" s="18"/>
      <c r="H241" s="19"/>
      <c r="I241" s="18"/>
      <c r="J241" s="18"/>
      <c r="K241" s="18"/>
      <c r="L241" s="18"/>
      <c r="M241" s="18"/>
      <c r="N241" s="18"/>
      <c r="O241" s="18"/>
      <c r="R241" s="18"/>
      <c r="S241" s="18"/>
      <c r="T241" s="20"/>
    </row>
    <row r="242" spans="7:20" x14ac:dyDescent="0.2">
      <c r="G242" s="18"/>
      <c r="H242" s="19"/>
      <c r="I242" s="18"/>
      <c r="J242" s="18"/>
      <c r="K242" s="18"/>
      <c r="L242" s="18"/>
      <c r="M242" s="18"/>
      <c r="N242" s="18"/>
      <c r="O242" s="18"/>
      <c r="R242" s="18"/>
      <c r="S242" s="18"/>
      <c r="T242" s="20"/>
    </row>
    <row r="243" spans="7:20" x14ac:dyDescent="0.2">
      <c r="G243" s="18"/>
      <c r="H243" s="19"/>
      <c r="I243" s="18"/>
      <c r="J243" s="18"/>
      <c r="K243" s="18"/>
      <c r="L243" s="18"/>
      <c r="M243" s="18"/>
      <c r="N243" s="18"/>
      <c r="O243" s="18"/>
      <c r="R243" s="18"/>
      <c r="S243" s="18"/>
      <c r="T243" s="20"/>
    </row>
    <row r="244" spans="7:20" x14ac:dyDescent="0.2">
      <c r="G244" s="18"/>
      <c r="H244" s="19"/>
      <c r="I244" s="18"/>
      <c r="J244" s="18"/>
      <c r="K244" s="18"/>
      <c r="L244" s="18"/>
      <c r="M244" s="18"/>
      <c r="N244" s="18"/>
      <c r="O244" s="18"/>
      <c r="R244" s="18"/>
      <c r="S244" s="18"/>
      <c r="T244" s="20"/>
    </row>
    <row r="245" spans="7:20" x14ac:dyDescent="0.2">
      <c r="G245" s="18"/>
      <c r="H245" s="19"/>
      <c r="I245" s="18"/>
      <c r="J245" s="18"/>
      <c r="K245" s="18"/>
      <c r="L245" s="18"/>
      <c r="M245" s="18"/>
      <c r="N245" s="18"/>
      <c r="O245" s="18"/>
      <c r="R245" s="18"/>
      <c r="S245" s="18"/>
      <c r="T245" s="20"/>
    </row>
    <row r="246" spans="7:20" x14ac:dyDescent="0.2">
      <c r="G246" s="18"/>
      <c r="H246" s="19"/>
      <c r="I246" s="18"/>
      <c r="J246" s="18"/>
      <c r="K246" s="18"/>
      <c r="L246" s="18"/>
      <c r="M246" s="18"/>
      <c r="N246" s="18"/>
      <c r="O246" s="18"/>
      <c r="R246" s="18"/>
      <c r="S246" s="18"/>
      <c r="T246" s="20"/>
    </row>
    <row r="247" spans="7:20" x14ac:dyDescent="0.2">
      <c r="G247" s="18"/>
      <c r="H247" s="19"/>
      <c r="I247" s="18"/>
      <c r="J247" s="18"/>
      <c r="K247" s="18"/>
      <c r="L247" s="18"/>
      <c r="M247" s="18"/>
      <c r="N247" s="18"/>
      <c r="O247" s="18"/>
      <c r="R247" s="18"/>
      <c r="S247" s="18"/>
      <c r="T247" s="20"/>
    </row>
    <row r="248" spans="7:20" x14ac:dyDescent="0.2">
      <c r="G248" s="18"/>
      <c r="H248" s="19"/>
      <c r="I248" s="18"/>
      <c r="J248" s="18"/>
      <c r="K248" s="18"/>
      <c r="L248" s="18"/>
      <c r="M248" s="18"/>
      <c r="N248" s="18"/>
      <c r="O248" s="18"/>
      <c r="R248" s="18"/>
      <c r="S248" s="18"/>
      <c r="T248" s="20"/>
    </row>
    <row r="249" spans="7:20" x14ac:dyDescent="0.2">
      <c r="G249" s="18"/>
      <c r="H249" s="19"/>
      <c r="I249" s="18"/>
      <c r="J249" s="18"/>
      <c r="K249" s="18"/>
      <c r="L249" s="18"/>
      <c r="M249" s="18"/>
      <c r="N249" s="18"/>
      <c r="O249" s="18"/>
      <c r="R249" s="18"/>
      <c r="S249" s="18"/>
      <c r="T249" s="20"/>
    </row>
    <row r="250" spans="7:20" x14ac:dyDescent="0.2">
      <c r="G250" s="18"/>
      <c r="H250" s="19"/>
      <c r="I250" s="18"/>
      <c r="J250" s="18"/>
      <c r="K250" s="18"/>
      <c r="L250" s="18"/>
      <c r="M250" s="18"/>
      <c r="N250" s="18"/>
      <c r="O250" s="18"/>
      <c r="R250" s="18"/>
      <c r="S250" s="18"/>
      <c r="T250" s="20"/>
    </row>
    <row r="251" spans="7:20" x14ac:dyDescent="0.2">
      <c r="G251" s="18"/>
      <c r="H251" s="19"/>
      <c r="I251" s="18"/>
      <c r="J251" s="18"/>
      <c r="K251" s="18"/>
      <c r="L251" s="18"/>
      <c r="M251" s="18"/>
      <c r="N251" s="18"/>
      <c r="O251" s="18"/>
      <c r="R251" s="18"/>
      <c r="S251" s="18"/>
      <c r="T251" s="20"/>
    </row>
    <row r="252" spans="7:20" x14ac:dyDescent="0.2">
      <c r="G252" s="18"/>
      <c r="H252" s="19"/>
      <c r="I252" s="18"/>
      <c r="J252" s="18"/>
      <c r="K252" s="18"/>
      <c r="L252" s="18"/>
      <c r="M252" s="18"/>
      <c r="N252" s="18"/>
      <c r="O252" s="18"/>
      <c r="R252" s="18"/>
      <c r="S252" s="18"/>
      <c r="T252" s="20"/>
    </row>
    <row r="253" spans="7:20" x14ac:dyDescent="0.2">
      <c r="G253" s="18"/>
      <c r="H253" s="19"/>
      <c r="I253" s="18"/>
      <c r="J253" s="18"/>
      <c r="K253" s="18"/>
      <c r="L253" s="18"/>
      <c r="M253" s="18"/>
      <c r="N253" s="18"/>
      <c r="O253" s="18"/>
      <c r="R253" s="18"/>
      <c r="S253" s="18"/>
      <c r="T253" s="20"/>
    </row>
    <row r="254" spans="7:20" x14ac:dyDescent="0.2">
      <c r="G254" s="18"/>
      <c r="H254" s="19"/>
      <c r="I254" s="18"/>
      <c r="J254" s="18"/>
      <c r="K254" s="18"/>
      <c r="L254" s="18"/>
      <c r="M254" s="18"/>
      <c r="N254" s="18"/>
      <c r="O254" s="18"/>
      <c r="R254" s="18"/>
      <c r="S254" s="18"/>
      <c r="T254" s="20"/>
    </row>
    <row r="255" spans="7:20" x14ac:dyDescent="0.2">
      <c r="G255" s="18"/>
      <c r="H255" s="19"/>
      <c r="I255" s="18"/>
      <c r="J255" s="18"/>
      <c r="K255" s="18"/>
      <c r="L255" s="18"/>
      <c r="M255" s="18"/>
      <c r="N255" s="18"/>
      <c r="O255" s="18"/>
      <c r="R255" s="18"/>
      <c r="S255" s="18"/>
      <c r="T255" s="20"/>
    </row>
    <row r="256" spans="7:20" x14ac:dyDescent="0.2">
      <c r="G256" s="18"/>
      <c r="H256" s="19"/>
      <c r="I256" s="18"/>
      <c r="J256" s="18"/>
      <c r="K256" s="18"/>
      <c r="L256" s="18"/>
      <c r="M256" s="18"/>
      <c r="N256" s="18"/>
      <c r="O256" s="18"/>
      <c r="R256" s="18"/>
      <c r="S256" s="18"/>
      <c r="T256" s="20"/>
    </row>
    <row r="257" spans="7:20" x14ac:dyDescent="0.2">
      <c r="G257" s="18"/>
      <c r="H257" s="19"/>
      <c r="I257" s="18"/>
      <c r="J257" s="18"/>
      <c r="K257" s="18"/>
      <c r="L257" s="18"/>
      <c r="M257" s="18"/>
      <c r="N257" s="18"/>
      <c r="O257" s="18"/>
      <c r="R257" s="18"/>
      <c r="S257" s="18"/>
      <c r="T257" s="20"/>
    </row>
    <row r="258" spans="7:20" x14ac:dyDescent="0.2">
      <c r="G258" s="18"/>
      <c r="H258" s="19"/>
      <c r="I258" s="18"/>
      <c r="J258" s="18"/>
      <c r="K258" s="18"/>
      <c r="L258" s="18"/>
      <c r="M258" s="18"/>
      <c r="N258" s="18"/>
      <c r="O258" s="18"/>
      <c r="R258" s="18"/>
      <c r="S258" s="18"/>
      <c r="T258" s="20"/>
    </row>
    <row r="259" spans="7:20" x14ac:dyDescent="0.2">
      <c r="G259" s="18"/>
      <c r="H259" s="19"/>
      <c r="I259" s="18"/>
      <c r="J259" s="18"/>
      <c r="K259" s="18"/>
      <c r="L259" s="18"/>
      <c r="M259" s="18"/>
      <c r="N259" s="18"/>
      <c r="O259" s="18"/>
      <c r="R259" s="18"/>
      <c r="S259" s="18"/>
      <c r="T259" s="20"/>
    </row>
    <row r="260" spans="7:20" x14ac:dyDescent="0.2">
      <c r="G260" s="18"/>
      <c r="H260" s="19"/>
      <c r="I260" s="18"/>
      <c r="J260" s="18"/>
      <c r="K260" s="18"/>
      <c r="L260" s="18"/>
      <c r="M260" s="18"/>
      <c r="N260" s="18"/>
      <c r="O260" s="18"/>
      <c r="R260" s="18"/>
      <c r="S260" s="18"/>
      <c r="T260" s="20"/>
    </row>
    <row r="261" spans="7:20" x14ac:dyDescent="0.2">
      <c r="G261" s="18"/>
      <c r="H261" s="19"/>
      <c r="I261" s="18"/>
      <c r="J261" s="18"/>
      <c r="K261" s="18"/>
      <c r="L261" s="18"/>
      <c r="M261" s="18"/>
      <c r="N261" s="18"/>
      <c r="O261" s="18"/>
      <c r="R261" s="18"/>
      <c r="S261" s="18"/>
      <c r="T261" s="20"/>
    </row>
    <row r="262" spans="7:20" x14ac:dyDescent="0.2">
      <c r="G262" s="18"/>
      <c r="H262" s="19"/>
      <c r="I262" s="18"/>
      <c r="J262" s="18"/>
      <c r="K262" s="18"/>
      <c r="L262" s="18"/>
      <c r="M262" s="18"/>
      <c r="N262" s="18"/>
      <c r="O262" s="18"/>
      <c r="R262" s="18"/>
      <c r="S262" s="18"/>
      <c r="T262" s="20"/>
    </row>
    <row r="263" spans="7:20" x14ac:dyDescent="0.2">
      <c r="G263" s="18"/>
      <c r="H263" s="19"/>
      <c r="I263" s="18"/>
      <c r="J263" s="18"/>
      <c r="K263" s="18"/>
      <c r="L263" s="18"/>
      <c r="M263" s="18"/>
      <c r="N263" s="18"/>
      <c r="O263" s="18"/>
      <c r="R263" s="18"/>
      <c r="S263" s="18"/>
      <c r="T263" s="20"/>
    </row>
    <row r="264" spans="7:20" x14ac:dyDescent="0.2">
      <c r="G264" s="18"/>
      <c r="H264" s="19"/>
      <c r="I264" s="18"/>
      <c r="J264" s="18"/>
      <c r="K264" s="18"/>
      <c r="L264" s="18"/>
      <c r="M264" s="18"/>
      <c r="N264" s="18"/>
      <c r="O264" s="18"/>
      <c r="R264" s="18"/>
      <c r="S264" s="18"/>
      <c r="T264" s="20"/>
    </row>
    <row r="265" spans="7:20" x14ac:dyDescent="0.2">
      <c r="G265" s="18"/>
      <c r="H265" s="19"/>
      <c r="I265" s="18"/>
      <c r="J265" s="18"/>
      <c r="K265" s="18"/>
      <c r="L265" s="18"/>
      <c r="M265" s="18"/>
      <c r="N265" s="18"/>
      <c r="O265" s="18"/>
      <c r="R265" s="18"/>
      <c r="S265" s="18"/>
      <c r="T265" s="20"/>
    </row>
    <row r="266" spans="7:20" x14ac:dyDescent="0.2">
      <c r="G266" s="18"/>
      <c r="H266" s="19"/>
      <c r="I266" s="18"/>
      <c r="J266" s="18"/>
      <c r="K266" s="18"/>
      <c r="L266" s="18"/>
      <c r="M266" s="18"/>
      <c r="N266" s="18"/>
      <c r="O266" s="18"/>
      <c r="R266" s="18"/>
      <c r="S266" s="18"/>
      <c r="T266" s="20"/>
    </row>
    <row r="267" spans="7:20" x14ac:dyDescent="0.2">
      <c r="G267" s="18"/>
      <c r="H267" s="19"/>
      <c r="I267" s="18"/>
      <c r="J267" s="18"/>
      <c r="K267" s="18"/>
      <c r="L267" s="18"/>
      <c r="M267" s="18"/>
      <c r="N267" s="18"/>
      <c r="O267" s="18"/>
      <c r="R267" s="18"/>
      <c r="S267" s="18"/>
      <c r="T267" s="20"/>
    </row>
    <row r="268" spans="7:20" x14ac:dyDescent="0.2">
      <c r="G268" s="18"/>
      <c r="H268" s="19"/>
      <c r="I268" s="18"/>
      <c r="J268" s="18"/>
      <c r="K268" s="18"/>
      <c r="L268" s="18"/>
      <c r="M268" s="18"/>
      <c r="N268" s="18"/>
      <c r="O268" s="18"/>
      <c r="R268" s="18"/>
      <c r="S268" s="18"/>
      <c r="T268" s="20"/>
    </row>
    <row r="269" spans="7:20" x14ac:dyDescent="0.2">
      <c r="G269" s="18"/>
      <c r="H269" s="19"/>
      <c r="I269" s="18"/>
      <c r="J269" s="18"/>
      <c r="K269" s="18"/>
      <c r="L269" s="18"/>
      <c r="M269" s="18"/>
      <c r="N269" s="18"/>
      <c r="O269" s="18"/>
      <c r="R269" s="18"/>
      <c r="S269" s="18"/>
      <c r="T269" s="20"/>
    </row>
    <row r="270" spans="7:20" x14ac:dyDescent="0.2">
      <c r="G270" s="18"/>
      <c r="H270" s="19"/>
      <c r="I270" s="18"/>
      <c r="J270" s="18"/>
      <c r="K270" s="18"/>
      <c r="L270" s="18"/>
      <c r="M270" s="18"/>
      <c r="N270" s="18"/>
      <c r="O270" s="18"/>
      <c r="R270" s="18"/>
      <c r="S270" s="18"/>
      <c r="T270" s="20"/>
    </row>
    <row r="271" spans="7:20" x14ac:dyDescent="0.2">
      <c r="G271" s="18"/>
      <c r="H271" s="19"/>
      <c r="I271" s="18"/>
      <c r="J271" s="18"/>
      <c r="K271" s="18"/>
      <c r="L271" s="18"/>
      <c r="M271" s="18"/>
      <c r="N271" s="18"/>
      <c r="O271" s="18"/>
      <c r="R271" s="18"/>
      <c r="S271" s="18"/>
      <c r="T271" s="20"/>
    </row>
    <row r="272" spans="7:20" x14ac:dyDescent="0.2">
      <c r="G272" s="18"/>
      <c r="H272" s="19"/>
      <c r="I272" s="18"/>
      <c r="J272" s="18"/>
      <c r="K272" s="18"/>
      <c r="L272" s="18"/>
      <c r="M272" s="18"/>
      <c r="N272" s="18"/>
      <c r="O272" s="18"/>
      <c r="R272" s="18"/>
      <c r="S272" s="18"/>
      <c r="T272" s="20"/>
    </row>
    <row r="273" spans="7:20" x14ac:dyDescent="0.2">
      <c r="G273" s="18"/>
      <c r="H273" s="19"/>
      <c r="I273" s="18"/>
      <c r="J273" s="18"/>
      <c r="K273" s="18"/>
      <c r="L273" s="18"/>
      <c r="M273" s="18"/>
      <c r="N273" s="18"/>
      <c r="O273" s="18"/>
      <c r="R273" s="18"/>
      <c r="S273" s="18"/>
      <c r="T273" s="20"/>
    </row>
    <row r="274" spans="7:20" x14ac:dyDescent="0.2">
      <c r="G274" s="18"/>
      <c r="H274" s="19"/>
      <c r="I274" s="18"/>
      <c r="J274" s="18"/>
      <c r="K274" s="18"/>
      <c r="L274" s="18"/>
      <c r="M274" s="18"/>
      <c r="N274" s="18"/>
      <c r="O274" s="18"/>
      <c r="R274" s="18"/>
      <c r="S274" s="18"/>
      <c r="T274" s="20"/>
    </row>
    <row r="275" spans="7:20" x14ac:dyDescent="0.2">
      <c r="G275" s="18"/>
      <c r="H275" s="19"/>
      <c r="I275" s="18"/>
      <c r="J275" s="18"/>
      <c r="K275" s="18"/>
      <c r="L275" s="18"/>
      <c r="M275" s="18"/>
      <c r="N275" s="18"/>
      <c r="O275" s="18"/>
      <c r="R275" s="18"/>
      <c r="S275" s="18"/>
      <c r="T275" s="20"/>
    </row>
    <row r="276" spans="7:20" x14ac:dyDescent="0.2">
      <c r="G276" s="18"/>
      <c r="H276" s="19"/>
      <c r="I276" s="18"/>
      <c r="J276" s="18"/>
      <c r="K276" s="18"/>
      <c r="L276" s="18"/>
      <c r="M276" s="18"/>
      <c r="N276" s="18"/>
      <c r="O276" s="18"/>
      <c r="R276" s="18"/>
      <c r="S276" s="18"/>
      <c r="T276" s="20"/>
    </row>
    <row r="277" spans="7:20" x14ac:dyDescent="0.2">
      <c r="G277" s="18"/>
      <c r="H277" s="19"/>
      <c r="I277" s="18"/>
      <c r="J277" s="18"/>
      <c r="K277" s="18"/>
      <c r="L277" s="18"/>
      <c r="M277" s="18"/>
      <c r="N277" s="18"/>
      <c r="O277" s="18"/>
      <c r="R277" s="18"/>
      <c r="S277" s="18"/>
      <c r="T277" s="20"/>
    </row>
    <row r="278" spans="7:20" x14ac:dyDescent="0.2">
      <c r="G278" s="18"/>
      <c r="H278" s="19"/>
      <c r="I278" s="18"/>
      <c r="J278" s="18"/>
      <c r="K278" s="18"/>
      <c r="L278" s="18"/>
      <c r="M278" s="18"/>
      <c r="N278" s="18"/>
      <c r="O278" s="18"/>
      <c r="R278" s="18"/>
      <c r="S278" s="18"/>
      <c r="T278" s="20"/>
    </row>
    <row r="279" spans="7:20" x14ac:dyDescent="0.2">
      <c r="G279" s="18"/>
      <c r="H279" s="19"/>
      <c r="I279" s="18"/>
      <c r="J279" s="18"/>
      <c r="K279" s="18"/>
      <c r="L279" s="18"/>
      <c r="M279" s="18"/>
      <c r="N279" s="18"/>
      <c r="O279" s="18"/>
      <c r="R279" s="18"/>
      <c r="S279" s="18"/>
      <c r="T279" s="20"/>
    </row>
    <row r="280" spans="7:20" x14ac:dyDescent="0.2">
      <c r="G280" s="18"/>
      <c r="H280" s="19"/>
      <c r="I280" s="18"/>
      <c r="J280" s="18"/>
      <c r="K280" s="18"/>
      <c r="L280" s="18"/>
      <c r="M280" s="18"/>
      <c r="N280" s="18"/>
      <c r="O280" s="18"/>
      <c r="R280" s="18"/>
      <c r="S280" s="18"/>
      <c r="T280" s="20"/>
    </row>
    <row r="281" spans="7:20" x14ac:dyDescent="0.2">
      <c r="G281" s="18"/>
      <c r="H281" s="19"/>
      <c r="I281" s="18"/>
      <c r="J281" s="18"/>
      <c r="K281" s="18"/>
      <c r="L281" s="18"/>
      <c r="M281" s="18"/>
      <c r="N281" s="18"/>
      <c r="O281" s="18"/>
      <c r="R281" s="18"/>
      <c r="S281" s="18"/>
      <c r="T281" s="20"/>
    </row>
    <row r="282" spans="7:20" x14ac:dyDescent="0.2">
      <c r="G282" s="18"/>
      <c r="H282" s="19"/>
      <c r="I282" s="18"/>
      <c r="J282" s="18"/>
      <c r="K282" s="18"/>
      <c r="L282" s="18"/>
      <c r="M282" s="18"/>
      <c r="N282" s="18"/>
      <c r="O282" s="18"/>
      <c r="R282" s="18"/>
      <c r="S282" s="18"/>
      <c r="T282" s="20"/>
    </row>
    <row r="283" spans="7:20" x14ac:dyDescent="0.2">
      <c r="G283" s="18"/>
      <c r="H283" s="19"/>
      <c r="I283" s="18"/>
      <c r="J283" s="18"/>
      <c r="K283" s="18"/>
      <c r="L283" s="18"/>
      <c r="M283" s="18"/>
      <c r="N283" s="18"/>
      <c r="O283" s="18"/>
      <c r="R283" s="18"/>
      <c r="S283" s="18"/>
      <c r="T283" s="20"/>
    </row>
    <row r="284" spans="7:20" x14ac:dyDescent="0.2">
      <c r="G284" s="18"/>
      <c r="H284" s="19"/>
      <c r="I284" s="18"/>
      <c r="J284" s="18"/>
      <c r="K284" s="18"/>
      <c r="L284" s="18"/>
      <c r="M284" s="18"/>
      <c r="N284" s="18"/>
      <c r="O284" s="18"/>
      <c r="R284" s="18"/>
      <c r="S284" s="18"/>
      <c r="T284" s="20"/>
    </row>
    <row r="285" spans="7:20" x14ac:dyDescent="0.2">
      <c r="G285" s="18"/>
      <c r="H285" s="19"/>
      <c r="I285" s="18"/>
      <c r="J285" s="18"/>
      <c r="K285" s="18"/>
      <c r="L285" s="18"/>
      <c r="M285" s="18"/>
      <c r="N285" s="18"/>
      <c r="O285" s="18"/>
      <c r="R285" s="18"/>
      <c r="S285" s="18"/>
      <c r="T285" s="20"/>
    </row>
    <row r="286" spans="7:20" x14ac:dyDescent="0.2">
      <c r="G286" s="18"/>
      <c r="H286" s="19"/>
      <c r="I286" s="18"/>
      <c r="J286" s="18"/>
      <c r="K286" s="18"/>
      <c r="L286" s="18"/>
      <c r="M286" s="18"/>
      <c r="N286" s="18"/>
      <c r="O286" s="18"/>
      <c r="R286" s="18"/>
      <c r="S286" s="18"/>
      <c r="T286" s="20"/>
    </row>
    <row r="287" spans="7:20" x14ac:dyDescent="0.2">
      <c r="G287" s="18"/>
      <c r="H287" s="19"/>
      <c r="I287" s="18"/>
      <c r="J287" s="18"/>
      <c r="K287" s="18"/>
      <c r="L287" s="18"/>
      <c r="M287" s="18"/>
      <c r="N287" s="18"/>
      <c r="O287" s="18"/>
      <c r="R287" s="18"/>
      <c r="S287" s="18"/>
      <c r="T287" s="20"/>
    </row>
    <row r="288" spans="7:20" x14ac:dyDescent="0.2">
      <c r="G288" s="18"/>
      <c r="H288" s="19"/>
      <c r="I288" s="18"/>
      <c r="J288" s="18"/>
      <c r="K288" s="18"/>
      <c r="L288" s="18"/>
      <c r="M288" s="18"/>
      <c r="N288" s="18"/>
      <c r="O288" s="18"/>
      <c r="R288" s="18"/>
      <c r="S288" s="18"/>
      <c r="T288" s="20"/>
    </row>
    <row r="289" spans="7:20" x14ac:dyDescent="0.2">
      <c r="G289" s="18"/>
      <c r="H289" s="19"/>
      <c r="I289" s="18"/>
      <c r="J289" s="18"/>
      <c r="K289" s="18"/>
      <c r="L289" s="18"/>
      <c r="M289" s="18"/>
      <c r="N289" s="18"/>
      <c r="O289" s="18"/>
      <c r="R289" s="18"/>
      <c r="S289" s="18"/>
      <c r="T289" s="20"/>
    </row>
    <row r="290" spans="7:20" x14ac:dyDescent="0.2">
      <c r="G290" s="18"/>
      <c r="H290" s="19"/>
      <c r="I290" s="18"/>
      <c r="J290" s="18"/>
      <c r="K290" s="18"/>
      <c r="L290" s="18"/>
      <c r="M290" s="18"/>
      <c r="N290" s="18"/>
      <c r="O290" s="18"/>
      <c r="R290" s="18"/>
      <c r="S290" s="18"/>
      <c r="T290" s="20"/>
    </row>
    <row r="291" spans="7:20" x14ac:dyDescent="0.2">
      <c r="G291" s="18"/>
      <c r="H291" s="19"/>
      <c r="I291" s="18"/>
      <c r="J291" s="18"/>
      <c r="K291" s="18"/>
      <c r="L291" s="18"/>
      <c r="M291" s="18"/>
      <c r="N291" s="18"/>
      <c r="O291" s="18"/>
      <c r="R291" s="18"/>
      <c r="S291" s="18"/>
      <c r="T291" s="20"/>
    </row>
    <row r="292" spans="7:20" x14ac:dyDescent="0.2">
      <c r="G292" s="18"/>
      <c r="H292" s="19"/>
      <c r="I292" s="18"/>
      <c r="J292" s="18"/>
      <c r="K292" s="18"/>
      <c r="L292" s="18"/>
      <c r="M292" s="18"/>
      <c r="N292" s="18"/>
      <c r="O292" s="18"/>
      <c r="R292" s="18"/>
      <c r="S292" s="18"/>
      <c r="T292" s="20"/>
    </row>
    <row r="293" spans="7:20" x14ac:dyDescent="0.2">
      <c r="G293" s="18"/>
      <c r="H293" s="19"/>
      <c r="I293" s="18"/>
      <c r="J293" s="18"/>
      <c r="K293" s="18"/>
      <c r="L293" s="18"/>
      <c r="M293" s="18"/>
      <c r="N293" s="18"/>
      <c r="O293" s="18"/>
      <c r="R293" s="18"/>
      <c r="S293" s="18"/>
      <c r="T293" s="20"/>
    </row>
    <row r="294" spans="7:20" x14ac:dyDescent="0.2">
      <c r="G294" s="18"/>
      <c r="H294" s="19"/>
      <c r="I294" s="18"/>
      <c r="J294" s="18"/>
      <c r="K294" s="18"/>
      <c r="L294" s="18"/>
      <c r="M294" s="18"/>
      <c r="N294" s="18"/>
      <c r="O294" s="18"/>
      <c r="R294" s="18"/>
      <c r="S294" s="18"/>
      <c r="T294" s="20"/>
    </row>
    <row r="295" spans="7:20" x14ac:dyDescent="0.2">
      <c r="G295" s="18"/>
      <c r="H295" s="19"/>
      <c r="I295" s="18"/>
      <c r="J295" s="18"/>
      <c r="K295" s="18"/>
      <c r="L295" s="18"/>
      <c r="M295" s="18"/>
      <c r="N295" s="18"/>
      <c r="O295" s="18"/>
      <c r="R295" s="18"/>
      <c r="S295" s="18"/>
      <c r="T295" s="20"/>
    </row>
    <row r="296" spans="7:20" x14ac:dyDescent="0.2">
      <c r="G296" s="18"/>
      <c r="H296" s="19"/>
      <c r="I296" s="18"/>
      <c r="J296" s="18"/>
      <c r="K296" s="18"/>
      <c r="L296" s="18"/>
      <c r="M296" s="18"/>
      <c r="N296" s="18"/>
      <c r="O296" s="18"/>
      <c r="R296" s="18"/>
      <c r="S296" s="18"/>
      <c r="T296" s="20"/>
    </row>
    <row r="297" spans="7:20" x14ac:dyDescent="0.2">
      <c r="G297" s="18"/>
      <c r="H297" s="19"/>
      <c r="I297" s="18"/>
      <c r="J297" s="18"/>
      <c r="K297" s="18"/>
      <c r="L297" s="18"/>
      <c r="M297" s="18"/>
      <c r="N297" s="18"/>
      <c r="O297" s="18"/>
      <c r="R297" s="18"/>
      <c r="S297" s="18"/>
      <c r="T297" s="20"/>
    </row>
    <row r="298" spans="7:20" x14ac:dyDescent="0.2">
      <c r="G298" s="18"/>
      <c r="H298" s="19"/>
      <c r="I298" s="18"/>
      <c r="J298" s="18"/>
      <c r="K298" s="18"/>
      <c r="L298" s="18"/>
      <c r="M298" s="18"/>
      <c r="N298" s="18"/>
      <c r="O298" s="18"/>
      <c r="R298" s="18"/>
      <c r="S298" s="18"/>
      <c r="T298" s="20"/>
    </row>
    <row r="299" spans="7:20" x14ac:dyDescent="0.2">
      <c r="G299" s="18"/>
      <c r="H299" s="19"/>
      <c r="I299" s="18"/>
      <c r="J299" s="18"/>
      <c r="K299" s="18"/>
      <c r="L299" s="18"/>
      <c r="M299" s="18"/>
      <c r="N299" s="18"/>
      <c r="O299" s="18"/>
      <c r="R299" s="18"/>
      <c r="S299" s="18"/>
      <c r="T299" s="20"/>
    </row>
    <row r="300" spans="7:20" x14ac:dyDescent="0.2">
      <c r="G300" s="18"/>
      <c r="H300" s="19"/>
      <c r="I300" s="18"/>
      <c r="J300" s="18"/>
      <c r="K300" s="18"/>
      <c r="L300" s="18"/>
      <c r="M300" s="18"/>
      <c r="N300" s="18"/>
      <c r="O300" s="18"/>
      <c r="R300" s="18"/>
      <c r="S300" s="18"/>
      <c r="T300" s="20"/>
    </row>
    <row r="301" spans="7:20" x14ac:dyDescent="0.2">
      <c r="G301" s="18"/>
      <c r="H301" s="19"/>
      <c r="I301" s="18"/>
      <c r="J301" s="18"/>
      <c r="K301" s="18"/>
      <c r="L301" s="18"/>
      <c r="M301" s="18"/>
      <c r="N301" s="18"/>
      <c r="O301" s="18"/>
      <c r="R301" s="18"/>
      <c r="S301" s="18"/>
      <c r="T301" s="20"/>
    </row>
    <row r="302" spans="7:20" x14ac:dyDescent="0.2">
      <c r="G302" s="18"/>
      <c r="H302" s="19"/>
      <c r="I302" s="18"/>
      <c r="J302" s="18"/>
      <c r="K302" s="18"/>
      <c r="L302" s="18"/>
      <c r="M302" s="18"/>
      <c r="N302" s="18"/>
      <c r="O302" s="18"/>
      <c r="R302" s="18"/>
      <c r="S302" s="18"/>
      <c r="T302" s="20"/>
    </row>
    <row r="303" spans="7:20" x14ac:dyDescent="0.2">
      <c r="G303" s="18"/>
      <c r="H303" s="19"/>
      <c r="I303" s="18"/>
      <c r="J303" s="18"/>
      <c r="K303" s="18"/>
      <c r="L303" s="18"/>
      <c r="M303" s="18"/>
      <c r="N303" s="18"/>
      <c r="O303" s="18"/>
      <c r="R303" s="18"/>
      <c r="S303" s="18"/>
      <c r="T303" s="20"/>
    </row>
    <row r="304" spans="7:20" x14ac:dyDescent="0.2">
      <c r="G304" s="18"/>
      <c r="H304" s="19"/>
      <c r="I304" s="18"/>
      <c r="J304" s="18"/>
      <c r="K304" s="18"/>
      <c r="L304" s="18"/>
      <c r="M304" s="18"/>
      <c r="N304" s="18"/>
      <c r="O304" s="18"/>
      <c r="R304" s="18"/>
      <c r="S304" s="18"/>
      <c r="T304" s="20"/>
    </row>
    <row r="305" spans="7:20" x14ac:dyDescent="0.2">
      <c r="G305" s="18"/>
      <c r="H305" s="19"/>
      <c r="I305" s="18"/>
      <c r="J305" s="18"/>
      <c r="K305" s="18"/>
      <c r="L305" s="18"/>
      <c r="M305" s="18"/>
      <c r="N305" s="18"/>
      <c r="O305" s="18"/>
      <c r="R305" s="18"/>
      <c r="S305" s="18"/>
      <c r="T305" s="20"/>
    </row>
    <row r="306" spans="7:20" x14ac:dyDescent="0.2">
      <c r="G306" s="18"/>
      <c r="H306" s="19"/>
      <c r="I306" s="18"/>
      <c r="J306" s="18"/>
      <c r="K306" s="18"/>
      <c r="L306" s="18"/>
      <c r="M306" s="18"/>
      <c r="N306" s="18"/>
      <c r="O306" s="18"/>
      <c r="R306" s="18"/>
      <c r="S306" s="18"/>
      <c r="T306" s="20"/>
    </row>
    <row r="307" spans="7:20" x14ac:dyDescent="0.2">
      <c r="G307" s="18"/>
      <c r="H307" s="19"/>
      <c r="I307" s="18"/>
      <c r="J307" s="18"/>
      <c r="K307" s="18"/>
      <c r="L307" s="18"/>
      <c r="M307" s="18"/>
      <c r="N307" s="18"/>
      <c r="O307" s="18"/>
      <c r="R307" s="18"/>
      <c r="S307" s="18"/>
      <c r="T307" s="20"/>
    </row>
    <row r="308" spans="7:20" x14ac:dyDescent="0.2">
      <c r="G308" s="18"/>
      <c r="H308" s="19"/>
      <c r="I308" s="18"/>
      <c r="J308" s="18"/>
      <c r="K308" s="18"/>
      <c r="L308" s="18"/>
      <c r="M308" s="18"/>
      <c r="N308" s="18"/>
      <c r="O308" s="18"/>
      <c r="R308" s="18"/>
      <c r="S308" s="18"/>
      <c r="T308" s="20"/>
    </row>
    <row r="309" spans="7:20" x14ac:dyDescent="0.2">
      <c r="G309" s="18"/>
      <c r="H309" s="19"/>
      <c r="I309" s="18"/>
      <c r="J309" s="18"/>
      <c r="K309" s="18"/>
      <c r="L309" s="18"/>
      <c r="M309" s="18"/>
      <c r="N309" s="18"/>
      <c r="O309" s="18"/>
      <c r="R309" s="18"/>
      <c r="S309" s="18"/>
      <c r="T309" s="20"/>
    </row>
    <row r="310" spans="7:20" x14ac:dyDescent="0.2">
      <c r="G310" s="18"/>
      <c r="H310" s="19"/>
      <c r="I310" s="18"/>
      <c r="J310" s="18"/>
      <c r="K310" s="18"/>
      <c r="L310" s="18"/>
      <c r="M310" s="18"/>
      <c r="N310" s="18"/>
      <c r="O310" s="18"/>
      <c r="R310" s="18"/>
      <c r="S310" s="18"/>
      <c r="T310" s="20"/>
    </row>
    <row r="311" spans="7:20" x14ac:dyDescent="0.2">
      <c r="G311" s="18"/>
      <c r="H311" s="19"/>
      <c r="I311" s="18"/>
      <c r="J311" s="18"/>
      <c r="K311" s="18"/>
      <c r="L311" s="18"/>
      <c r="M311" s="18"/>
      <c r="N311" s="18"/>
      <c r="O311" s="18"/>
      <c r="R311" s="18"/>
      <c r="S311" s="18"/>
      <c r="T311" s="20"/>
    </row>
    <row r="312" spans="7:20" x14ac:dyDescent="0.2">
      <c r="G312" s="18"/>
      <c r="H312" s="19"/>
      <c r="I312" s="18"/>
      <c r="J312" s="18"/>
      <c r="K312" s="18"/>
      <c r="L312" s="18"/>
      <c r="M312" s="18"/>
      <c r="N312" s="18"/>
      <c r="O312" s="18"/>
      <c r="R312" s="18"/>
      <c r="S312" s="18"/>
      <c r="T312" s="20"/>
    </row>
    <row r="313" spans="7:20" x14ac:dyDescent="0.2">
      <c r="G313" s="18"/>
      <c r="H313" s="19"/>
      <c r="I313" s="18"/>
      <c r="J313" s="18"/>
      <c r="K313" s="18"/>
      <c r="L313" s="18"/>
      <c r="M313" s="18"/>
      <c r="N313" s="18"/>
      <c r="O313" s="18"/>
      <c r="R313" s="18"/>
      <c r="S313" s="18"/>
      <c r="T313" s="20"/>
    </row>
    <row r="314" spans="7:20" x14ac:dyDescent="0.2">
      <c r="G314" s="18"/>
      <c r="H314" s="19"/>
      <c r="I314" s="18"/>
      <c r="J314" s="18"/>
      <c r="K314" s="18"/>
      <c r="L314" s="18"/>
      <c r="M314" s="18"/>
      <c r="N314" s="18"/>
      <c r="O314" s="18"/>
      <c r="R314" s="18"/>
      <c r="S314" s="18"/>
      <c r="T314" s="20"/>
    </row>
    <row r="315" spans="7:20" x14ac:dyDescent="0.2">
      <c r="G315" s="18"/>
      <c r="H315" s="19"/>
      <c r="I315" s="18"/>
      <c r="J315" s="18"/>
      <c r="K315" s="18"/>
      <c r="L315" s="18"/>
      <c r="M315" s="18"/>
      <c r="N315" s="18"/>
      <c r="O315" s="18"/>
      <c r="R315" s="18"/>
      <c r="S315" s="18"/>
      <c r="T315" s="20"/>
    </row>
    <row r="316" spans="7:20" x14ac:dyDescent="0.2">
      <c r="G316" s="18"/>
      <c r="H316" s="19"/>
      <c r="I316" s="18"/>
      <c r="J316" s="18"/>
      <c r="K316" s="18"/>
      <c r="L316" s="18"/>
      <c r="M316" s="18"/>
      <c r="N316" s="18"/>
      <c r="O316" s="18"/>
      <c r="R316" s="18"/>
      <c r="S316" s="18"/>
      <c r="T316" s="20"/>
    </row>
    <row r="317" spans="7:20" x14ac:dyDescent="0.2">
      <c r="G317" s="18"/>
      <c r="H317" s="19"/>
      <c r="I317" s="18"/>
      <c r="J317" s="18"/>
      <c r="K317" s="18"/>
      <c r="L317" s="18"/>
      <c r="M317" s="18"/>
      <c r="N317" s="18"/>
      <c r="O317" s="18"/>
      <c r="R317" s="18"/>
      <c r="S317" s="18"/>
      <c r="T317" s="20"/>
    </row>
    <row r="318" spans="7:20" x14ac:dyDescent="0.2">
      <c r="G318" s="18"/>
      <c r="H318" s="19"/>
      <c r="I318" s="18"/>
      <c r="J318" s="18"/>
      <c r="K318" s="18"/>
      <c r="L318" s="18"/>
      <c r="M318" s="18"/>
      <c r="N318" s="18"/>
      <c r="O318" s="18"/>
      <c r="R318" s="18"/>
      <c r="S318" s="18"/>
      <c r="T318" s="20"/>
    </row>
    <row r="319" spans="7:20" x14ac:dyDescent="0.2">
      <c r="G319" s="18"/>
      <c r="H319" s="19"/>
      <c r="I319" s="18"/>
      <c r="J319" s="18"/>
      <c r="K319" s="18"/>
      <c r="L319" s="18"/>
      <c r="M319" s="18"/>
      <c r="N319" s="18"/>
      <c r="O319" s="18"/>
      <c r="R319" s="18"/>
      <c r="S319" s="18"/>
      <c r="T319" s="20"/>
    </row>
    <row r="320" spans="7:20" x14ac:dyDescent="0.2">
      <c r="G320" s="18"/>
      <c r="H320" s="19"/>
      <c r="I320" s="18"/>
      <c r="J320" s="18"/>
      <c r="K320" s="18"/>
      <c r="L320" s="18"/>
      <c r="M320" s="18"/>
      <c r="N320" s="18"/>
      <c r="O320" s="18"/>
      <c r="R320" s="18"/>
      <c r="S320" s="18"/>
      <c r="T320" s="20"/>
    </row>
    <row r="321" spans="7:20" x14ac:dyDescent="0.2">
      <c r="G321" s="18"/>
      <c r="H321" s="19"/>
      <c r="I321" s="18"/>
      <c r="J321" s="18"/>
      <c r="K321" s="18"/>
      <c r="L321" s="18"/>
      <c r="M321" s="18"/>
      <c r="N321" s="18"/>
      <c r="O321" s="18"/>
      <c r="R321" s="18"/>
      <c r="S321" s="18"/>
      <c r="T321" s="20"/>
    </row>
    <row r="322" spans="7:20" x14ac:dyDescent="0.2">
      <c r="G322" s="18"/>
      <c r="H322" s="19"/>
      <c r="I322" s="18"/>
      <c r="J322" s="18"/>
      <c r="K322" s="18"/>
      <c r="L322" s="18"/>
      <c r="M322" s="18"/>
      <c r="N322" s="18"/>
      <c r="O322" s="18"/>
      <c r="R322" s="18"/>
      <c r="S322" s="18"/>
      <c r="T322" s="20"/>
    </row>
    <row r="323" spans="7:20" x14ac:dyDescent="0.2">
      <c r="G323" s="18"/>
      <c r="H323" s="19"/>
      <c r="I323" s="18"/>
      <c r="J323" s="18"/>
      <c r="K323" s="18"/>
      <c r="L323" s="18"/>
      <c r="M323" s="18"/>
      <c r="N323" s="18"/>
      <c r="O323" s="18"/>
      <c r="R323" s="18"/>
      <c r="S323" s="18"/>
      <c r="T323" s="20"/>
    </row>
    <row r="324" spans="7:20" x14ac:dyDescent="0.2">
      <c r="G324" s="18"/>
      <c r="H324" s="19"/>
      <c r="I324" s="18"/>
      <c r="J324" s="18"/>
      <c r="K324" s="18"/>
      <c r="L324" s="18"/>
      <c r="M324" s="18"/>
      <c r="N324" s="18"/>
      <c r="O324" s="18"/>
      <c r="R324" s="18"/>
      <c r="S324" s="18"/>
      <c r="T324" s="20"/>
    </row>
    <row r="325" spans="7:20" x14ac:dyDescent="0.2">
      <c r="G325" s="18"/>
      <c r="H325" s="19"/>
      <c r="I325" s="18"/>
      <c r="J325" s="18"/>
      <c r="K325" s="18"/>
      <c r="L325" s="18"/>
      <c r="M325" s="18"/>
      <c r="N325" s="18"/>
      <c r="O325" s="18"/>
      <c r="R325" s="18"/>
      <c r="S325" s="18"/>
      <c r="T325" s="20"/>
    </row>
    <row r="326" spans="7:20" x14ac:dyDescent="0.2">
      <c r="G326" s="18"/>
      <c r="H326" s="19"/>
      <c r="I326" s="18"/>
      <c r="J326" s="18"/>
      <c r="K326" s="18"/>
      <c r="L326" s="18"/>
      <c r="M326" s="18"/>
      <c r="N326" s="18"/>
      <c r="O326" s="18"/>
      <c r="R326" s="18"/>
      <c r="S326" s="18"/>
      <c r="T326" s="20"/>
    </row>
    <row r="327" spans="7:20" x14ac:dyDescent="0.2">
      <c r="G327" s="18"/>
      <c r="H327" s="19"/>
      <c r="I327" s="18"/>
      <c r="J327" s="18"/>
      <c r="K327" s="18"/>
      <c r="L327" s="18"/>
      <c r="M327" s="18"/>
      <c r="N327" s="18"/>
      <c r="O327" s="18"/>
      <c r="R327" s="18"/>
      <c r="S327" s="18"/>
      <c r="T327" s="20"/>
    </row>
    <row r="328" spans="7:20" x14ac:dyDescent="0.2">
      <c r="G328" s="18"/>
      <c r="H328" s="19"/>
      <c r="I328" s="18"/>
      <c r="J328" s="18"/>
      <c r="K328" s="18"/>
      <c r="L328" s="18"/>
      <c r="M328" s="18"/>
      <c r="N328" s="18"/>
      <c r="O328" s="18"/>
      <c r="R328" s="18"/>
      <c r="S328" s="18"/>
      <c r="T328" s="20"/>
    </row>
    <row r="329" spans="7:20" x14ac:dyDescent="0.2">
      <c r="G329" s="18"/>
      <c r="H329" s="19"/>
      <c r="I329" s="18"/>
      <c r="J329" s="18"/>
      <c r="K329" s="18"/>
      <c r="L329" s="18"/>
      <c r="M329" s="18"/>
      <c r="N329" s="18"/>
      <c r="O329" s="18"/>
      <c r="R329" s="18"/>
      <c r="S329" s="18"/>
      <c r="T329" s="20"/>
    </row>
    <row r="330" spans="7:20" x14ac:dyDescent="0.2">
      <c r="G330" s="18"/>
      <c r="H330" s="19"/>
      <c r="I330" s="18"/>
      <c r="J330" s="18"/>
      <c r="K330" s="18"/>
      <c r="L330" s="18"/>
      <c r="M330" s="18"/>
      <c r="N330" s="18"/>
      <c r="O330" s="18"/>
      <c r="R330" s="18"/>
      <c r="S330" s="18"/>
      <c r="T330" s="20"/>
    </row>
    <row r="331" spans="7:20" x14ac:dyDescent="0.2">
      <c r="G331" s="18"/>
      <c r="H331" s="19"/>
      <c r="I331" s="18"/>
      <c r="J331" s="18"/>
      <c r="K331" s="18"/>
      <c r="L331" s="18"/>
      <c r="M331" s="18"/>
      <c r="N331" s="18"/>
      <c r="O331" s="18"/>
      <c r="R331" s="18"/>
      <c r="S331" s="18"/>
      <c r="T331" s="20"/>
    </row>
    <row r="332" spans="7:20" x14ac:dyDescent="0.2">
      <c r="G332" s="18"/>
      <c r="H332" s="19"/>
      <c r="I332" s="18"/>
      <c r="J332" s="18"/>
      <c r="K332" s="18"/>
      <c r="L332" s="18"/>
      <c r="M332" s="18"/>
      <c r="N332" s="18"/>
      <c r="O332" s="18"/>
      <c r="R332" s="18"/>
      <c r="S332" s="18"/>
      <c r="T332" s="20"/>
    </row>
    <row r="333" spans="7:20" x14ac:dyDescent="0.2">
      <c r="G333" s="18"/>
      <c r="H333" s="19"/>
      <c r="I333" s="18"/>
      <c r="J333" s="18"/>
      <c r="K333" s="18"/>
      <c r="L333" s="18"/>
      <c r="M333" s="18"/>
      <c r="N333" s="18"/>
      <c r="O333" s="18"/>
      <c r="R333" s="18"/>
      <c r="S333" s="18"/>
      <c r="T333" s="20"/>
    </row>
    <row r="334" spans="7:20" x14ac:dyDescent="0.2">
      <c r="G334" s="18"/>
      <c r="H334" s="19"/>
      <c r="I334" s="18"/>
      <c r="J334" s="18"/>
      <c r="K334" s="18"/>
      <c r="L334" s="18"/>
      <c r="M334" s="18"/>
      <c r="N334" s="18"/>
      <c r="O334" s="18"/>
      <c r="R334" s="18"/>
      <c r="S334" s="18"/>
      <c r="T334" s="20"/>
    </row>
    <row r="335" spans="7:20" x14ac:dyDescent="0.2">
      <c r="G335" s="18"/>
      <c r="H335" s="19"/>
      <c r="I335" s="18"/>
      <c r="J335" s="18"/>
      <c r="K335" s="18"/>
      <c r="L335" s="18"/>
      <c r="M335" s="18"/>
      <c r="N335" s="18"/>
      <c r="O335" s="18"/>
      <c r="R335" s="18"/>
      <c r="S335" s="18"/>
      <c r="T335" s="20"/>
    </row>
    <row r="336" spans="7:20" x14ac:dyDescent="0.2">
      <c r="G336" s="18"/>
      <c r="H336" s="19"/>
      <c r="I336" s="18"/>
      <c r="J336" s="18"/>
      <c r="K336" s="18"/>
      <c r="L336" s="18"/>
      <c r="M336" s="18"/>
      <c r="N336" s="18"/>
      <c r="O336" s="18"/>
      <c r="R336" s="18"/>
      <c r="S336" s="18"/>
      <c r="T336" s="20"/>
    </row>
    <row r="337" spans="7:20" x14ac:dyDescent="0.2">
      <c r="G337" s="18"/>
      <c r="H337" s="19"/>
      <c r="I337" s="18"/>
      <c r="J337" s="18"/>
      <c r="K337" s="18"/>
      <c r="L337" s="18"/>
      <c r="M337" s="18"/>
      <c r="N337" s="18"/>
      <c r="O337" s="18"/>
      <c r="R337" s="18"/>
      <c r="S337" s="18"/>
      <c r="T337" s="20"/>
    </row>
    <row r="338" spans="7:20" x14ac:dyDescent="0.2">
      <c r="G338" s="18"/>
      <c r="H338" s="19"/>
      <c r="I338" s="18"/>
      <c r="J338" s="18"/>
      <c r="K338" s="18"/>
      <c r="L338" s="18"/>
      <c r="M338" s="18"/>
      <c r="N338" s="18"/>
      <c r="O338" s="18"/>
      <c r="R338" s="18"/>
      <c r="S338" s="18"/>
      <c r="T338" s="20"/>
    </row>
    <row r="339" spans="7:20" x14ac:dyDescent="0.2">
      <c r="G339" s="18"/>
      <c r="H339" s="19"/>
      <c r="I339" s="18"/>
      <c r="J339" s="18"/>
      <c r="K339" s="18"/>
      <c r="L339" s="18"/>
      <c r="M339" s="18"/>
      <c r="N339" s="18"/>
      <c r="O339" s="18"/>
      <c r="R339" s="18"/>
      <c r="S339" s="18"/>
      <c r="T339" s="20"/>
    </row>
    <row r="340" spans="7:20" x14ac:dyDescent="0.2">
      <c r="G340" s="18"/>
      <c r="H340" s="19"/>
      <c r="I340" s="18"/>
      <c r="J340" s="18"/>
      <c r="K340" s="18"/>
      <c r="L340" s="18"/>
      <c r="M340" s="18"/>
      <c r="N340" s="18"/>
      <c r="O340" s="18"/>
      <c r="R340" s="18"/>
      <c r="S340" s="18"/>
      <c r="T340" s="20"/>
    </row>
    <row r="341" spans="7:20" x14ac:dyDescent="0.2">
      <c r="G341" s="18"/>
      <c r="H341" s="19"/>
      <c r="I341" s="18"/>
      <c r="J341" s="18"/>
      <c r="K341" s="18"/>
      <c r="L341" s="18"/>
      <c r="M341" s="18"/>
      <c r="N341" s="18"/>
      <c r="O341" s="18"/>
      <c r="R341" s="18"/>
      <c r="S341" s="18"/>
      <c r="T341" s="20"/>
    </row>
    <row r="342" spans="7:20" x14ac:dyDescent="0.2">
      <c r="G342" s="18"/>
      <c r="H342" s="19"/>
      <c r="I342" s="18"/>
      <c r="J342" s="18"/>
      <c r="K342" s="18"/>
      <c r="L342" s="18"/>
      <c r="M342" s="18"/>
      <c r="N342" s="18"/>
      <c r="O342" s="18"/>
      <c r="R342" s="18"/>
      <c r="S342" s="18"/>
      <c r="T342" s="20"/>
    </row>
    <row r="343" spans="7:20" x14ac:dyDescent="0.2">
      <c r="G343" s="18"/>
      <c r="H343" s="19"/>
      <c r="I343" s="18"/>
      <c r="J343" s="18"/>
      <c r="K343" s="18"/>
      <c r="L343" s="18"/>
      <c r="M343" s="18"/>
      <c r="N343" s="18"/>
      <c r="O343" s="18"/>
      <c r="R343" s="18"/>
      <c r="S343" s="18"/>
      <c r="T343" s="20"/>
    </row>
    <row r="344" spans="7:20" x14ac:dyDescent="0.2">
      <c r="G344" s="18"/>
      <c r="H344" s="19"/>
      <c r="I344" s="18"/>
      <c r="J344" s="18"/>
      <c r="K344" s="18"/>
      <c r="L344" s="18"/>
      <c r="M344" s="18"/>
      <c r="N344" s="18"/>
      <c r="O344" s="18"/>
      <c r="R344" s="18"/>
      <c r="S344" s="18"/>
      <c r="T344" s="20"/>
    </row>
    <row r="345" spans="7:20" x14ac:dyDescent="0.2">
      <c r="G345" s="18"/>
      <c r="H345" s="19"/>
      <c r="I345" s="18"/>
      <c r="J345" s="18"/>
      <c r="K345" s="18"/>
      <c r="L345" s="18"/>
      <c r="M345" s="18"/>
      <c r="N345" s="18"/>
      <c r="O345" s="18"/>
      <c r="R345" s="18"/>
      <c r="S345" s="18"/>
      <c r="T345" s="20"/>
    </row>
    <row r="346" spans="7:20" x14ac:dyDescent="0.2">
      <c r="G346" s="18"/>
      <c r="H346" s="19"/>
      <c r="I346" s="18"/>
      <c r="J346" s="18"/>
      <c r="K346" s="18"/>
      <c r="L346" s="18"/>
      <c r="M346" s="18"/>
      <c r="N346" s="18"/>
      <c r="O346" s="18"/>
      <c r="R346" s="18"/>
      <c r="S346" s="18"/>
      <c r="T346" s="20"/>
    </row>
    <row r="347" spans="7:20" x14ac:dyDescent="0.2">
      <c r="G347" s="18"/>
      <c r="H347" s="19"/>
      <c r="I347" s="18"/>
      <c r="J347" s="18"/>
      <c r="K347" s="18"/>
      <c r="L347" s="18"/>
      <c r="M347" s="18"/>
      <c r="N347" s="18"/>
      <c r="O347" s="18"/>
      <c r="R347" s="18"/>
      <c r="S347" s="18"/>
      <c r="T347" s="20"/>
    </row>
    <row r="348" spans="7:20" x14ac:dyDescent="0.2">
      <c r="G348" s="18"/>
      <c r="H348" s="19"/>
      <c r="I348" s="18"/>
      <c r="J348" s="18"/>
      <c r="K348" s="18"/>
      <c r="L348" s="18"/>
      <c r="M348" s="18"/>
      <c r="N348" s="18"/>
      <c r="O348" s="18"/>
      <c r="R348" s="18"/>
      <c r="S348" s="18"/>
      <c r="T348" s="20"/>
    </row>
    <row r="349" spans="7:20" x14ac:dyDescent="0.2">
      <c r="G349" s="18"/>
      <c r="H349" s="19"/>
      <c r="I349" s="18"/>
      <c r="J349" s="18"/>
      <c r="K349" s="18"/>
      <c r="L349" s="18"/>
      <c r="M349" s="18"/>
      <c r="N349" s="18"/>
      <c r="O349" s="18"/>
      <c r="R349" s="18"/>
      <c r="S349" s="18"/>
      <c r="T349" s="20"/>
    </row>
    <row r="350" spans="7:20" x14ac:dyDescent="0.2">
      <c r="G350" s="18"/>
      <c r="H350" s="19"/>
      <c r="I350" s="18"/>
      <c r="J350" s="18"/>
      <c r="K350" s="18"/>
      <c r="L350" s="18"/>
      <c r="M350" s="18"/>
      <c r="N350" s="18"/>
      <c r="O350" s="18"/>
      <c r="R350" s="18"/>
      <c r="S350" s="18"/>
      <c r="T350" s="20"/>
    </row>
    <row r="351" spans="7:20" x14ac:dyDescent="0.2">
      <c r="G351" s="18"/>
      <c r="H351" s="19"/>
      <c r="I351" s="18"/>
      <c r="J351" s="18"/>
      <c r="K351" s="18"/>
      <c r="L351" s="18"/>
      <c r="M351" s="18"/>
      <c r="N351" s="18"/>
      <c r="O351" s="18"/>
      <c r="R351" s="18"/>
      <c r="S351" s="18"/>
      <c r="T351" s="20"/>
    </row>
    <row r="352" spans="7:20" x14ac:dyDescent="0.2">
      <c r="G352" s="18"/>
      <c r="H352" s="19"/>
      <c r="I352" s="18"/>
      <c r="J352" s="18"/>
      <c r="K352" s="18"/>
      <c r="L352" s="18"/>
      <c r="M352" s="18"/>
      <c r="N352" s="18"/>
      <c r="O352" s="18"/>
      <c r="R352" s="18"/>
      <c r="S352" s="18"/>
      <c r="T352" s="20"/>
    </row>
    <row r="353" spans="7:20" x14ac:dyDescent="0.2">
      <c r="G353" s="18"/>
      <c r="H353" s="19"/>
      <c r="I353" s="18"/>
      <c r="J353" s="18"/>
      <c r="K353" s="18"/>
      <c r="L353" s="18"/>
      <c r="M353" s="18"/>
      <c r="N353" s="18"/>
      <c r="O353" s="18"/>
      <c r="R353" s="18"/>
      <c r="S353" s="18"/>
      <c r="T353" s="20"/>
    </row>
    <row r="354" spans="7:20" x14ac:dyDescent="0.2">
      <c r="G354" s="18"/>
      <c r="H354" s="19"/>
      <c r="I354" s="18"/>
      <c r="J354" s="18"/>
      <c r="K354" s="18"/>
      <c r="L354" s="18"/>
      <c r="M354" s="18"/>
      <c r="N354" s="18"/>
      <c r="O354" s="18"/>
      <c r="R354" s="18"/>
      <c r="S354" s="18"/>
      <c r="T354" s="20"/>
    </row>
    <row r="355" spans="7:20" x14ac:dyDescent="0.2">
      <c r="G355" s="18"/>
      <c r="H355" s="19"/>
      <c r="I355" s="18"/>
      <c r="J355" s="18"/>
      <c r="K355" s="18"/>
      <c r="L355" s="18"/>
      <c r="M355" s="18"/>
      <c r="N355" s="18"/>
      <c r="O355" s="18"/>
      <c r="R355" s="18"/>
      <c r="S355" s="18"/>
      <c r="T355" s="20"/>
    </row>
    <row r="356" spans="7:20" x14ac:dyDescent="0.2">
      <c r="G356" s="18"/>
      <c r="H356" s="19"/>
      <c r="I356" s="18"/>
      <c r="J356" s="18"/>
      <c r="K356" s="18"/>
      <c r="L356" s="18"/>
      <c r="M356" s="18"/>
      <c r="N356" s="18"/>
      <c r="O356" s="18"/>
      <c r="R356" s="18"/>
      <c r="S356" s="18"/>
      <c r="T356" s="20"/>
    </row>
    <row r="357" spans="7:20" x14ac:dyDescent="0.2">
      <c r="G357" s="18"/>
      <c r="H357" s="19"/>
      <c r="I357" s="18"/>
      <c r="J357" s="18"/>
      <c r="K357" s="18"/>
      <c r="L357" s="18"/>
      <c r="M357" s="18"/>
      <c r="N357" s="18"/>
      <c r="O357" s="18"/>
      <c r="R357" s="18"/>
      <c r="S357" s="18"/>
      <c r="T357" s="20"/>
    </row>
    <row r="358" spans="7:20" x14ac:dyDescent="0.2">
      <c r="G358" s="18"/>
      <c r="H358" s="19"/>
      <c r="I358" s="18"/>
      <c r="J358" s="18"/>
      <c r="K358" s="18"/>
      <c r="L358" s="18"/>
      <c r="M358" s="18"/>
      <c r="N358" s="18"/>
      <c r="O358" s="18"/>
      <c r="R358" s="18"/>
      <c r="S358" s="18"/>
      <c r="T358" s="20"/>
    </row>
    <row r="359" spans="7:20" x14ac:dyDescent="0.2">
      <c r="G359" s="18"/>
      <c r="H359" s="19"/>
      <c r="I359" s="18"/>
      <c r="J359" s="18"/>
      <c r="K359" s="18"/>
      <c r="L359" s="18"/>
      <c r="M359" s="18"/>
      <c r="N359" s="18"/>
      <c r="O359" s="18"/>
      <c r="R359" s="18"/>
      <c r="S359" s="18"/>
      <c r="T359" s="20"/>
    </row>
    <row r="360" spans="7:20" x14ac:dyDescent="0.2">
      <c r="G360" s="18"/>
      <c r="H360" s="19"/>
      <c r="I360" s="18"/>
      <c r="J360" s="18"/>
      <c r="K360" s="18"/>
      <c r="L360" s="18"/>
      <c r="M360" s="18"/>
      <c r="N360" s="18"/>
      <c r="O360" s="18"/>
      <c r="R360" s="18"/>
      <c r="S360" s="18"/>
      <c r="T360" s="20"/>
    </row>
    <row r="361" spans="7:20" x14ac:dyDescent="0.2">
      <c r="G361" s="18"/>
      <c r="H361" s="19"/>
      <c r="I361" s="18"/>
      <c r="J361" s="18"/>
      <c r="K361" s="18"/>
      <c r="L361" s="18"/>
      <c r="M361" s="18"/>
      <c r="N361" s="18"/>
      <c r="O361" s="18"/>
      <c r="R361" s="18"/>
      <c r="S361" s="18"/>
      <c r="T361" s="20"/>
    </row>
    <row r="362" spans="7:20" x14ac:dyDescent="0.2">
      <c r="G362" s="18"/>
      <c r="H362" s="19"/>
      <c r="I362" s="18"/>
      <c r="J362" s="18"/>
      <c r="K362" s="18"/>
      <c r="L362" s="18"/>
      <c r="M362" s="18"/>
      <c r="N362" s="18"/>
      <c r="O362" s="18"/>
      <c r="R362" s="18"/>
      <c r="S362" s="18"/>
      <c r="T362" s="20"/>
    </row>
    <row r="363" spans="7:20" x14ac:dyDescent="0.2">
      <c r="G363" s="18"/>
      <c r="H363" s="19"/>
      <c r="I363" s="18"/>
      <c r="J363" s="18"/>
      <c r="K363" s="18"/>
      <c r="L363" s="18"/>
      <c r="M363" s="18"/>
      <c r="N363" s="18"/>
      <c r="O363" s="18"/>
      <c r="R363" s="18"/>
      <c r="S363" s="18"/>
      <c r="T363" s="20"/>
    </row>
    <row r="364" spans="7:20" x14ac:dyDescent="0.2">
      <c r="G364" s="18"/>
      <c r="H364" s="19"/>
      <c r="I364" s="18"/>
      <c r="J364" s="18"/>
      <c r="K364" s="18"/>
      <c r="L364" s="18"/>
      <c r="M364" s="18"/>
      <c r="N364" s="18"/>
      <c r="O364" s="18"/>
      <c r="R364" s="18"/>
      <c r="S364" s="18"/>
      <c r="T364" s="20"/>
    </row>
    <row r="365" spans="7:20" x14ac:dyDescent="0.2">
      <c r="G365" s="18"/>
      <c r="H365" s="19"/>
      <c r="I365" s="18"/>
      <c r="J365" s="18"/>
      <c r="K365" s="18"/>
      <c r="L365" s="18"/>
      <c r="M365" s="18"/>
      <c r="N365" s="18"/>
      <c r="O365" s="18"/>
      <c r="R365" s="18"/>
      <c r="S365" s="18"/>
      <c r="T365" s="20"/>
    </row>
    <row r="366" spans="7:20" x14ac:dyDescent="0.2">
      <c r="G366" s="18"/>
      <c r="H366" s="19"/>
      <c r="I366" s="18"/>
      <c r="J366" s="18"/>
      <c r="K366" s="18"/>
      <c r="L366" s="18"/>
      <c r="M366" s="18"/>
      <c r="N366" s="18"/>
      <c r="O366" s="18"/>
      <c r="R366" s="18"/>
      <c r="S366" s="18"/>
      <c r="T366" s="20"/>
    </row>
    <row r="367" spans="7:20" x14ac:dyDescent="0.2">
      <c r="G367" s="18"/>
      <c r="H367" s="19"/>
      <c r="I367" s="18"/>
      <c r="J367" s="18"/>
      <c r="K367" s="18"/>
      <c r="L367" s="18"/>
      <c r="M367" s="18"/>
      <c r="N367" s="18"/>
      <c r="O367" s="18"/>
      <c r="R367" s="18"/>
      <c r="S367" s="18"/>
      <c r="T367" s="20"/>
    </row>
    <row r="368" spans="7:20" x14ac:dyDescent="0.2">
      <c r="G368" s="18"/>
      <c r="H368" s="19"/>
      <c r="I368" s="18"/>
      <c r="J368" s="18"/>
      <c r="K368" s="18"/>
      <c r="L368" s="18"/>
      <c r="M368" s="18"/>
      <c r="N368" s="18"/>
      <c r="O368" s="18"/>
      <c r="R368" s="18"/>
      <c r="S368" s="18"/>
      <c r="T368" s="20"/>
    </row>
    <row r="369" spans="7:20" x14ac:dyDescent="0.2">
      <c r="G369" s="18"/>
      <c r="H369" s="19"/>
      <c r="I369" s="18"/>
      <c r="J369" s="18"/>
      <c r="K369" s="18"/>
      <c r="L369" s="18"/>
      <c r="M369" s="18"/>
      <c r="N369" s="18"/>
      <c r="O369" s="18"/>
      <c r="R369" s="18"/>
      <c r="S369" s="18"/>
      <c r="T369" s="20"/>
    </row>
    <row r="370" spans="7:20" x14ac:dyDescent="0.2">
      <c r="G370" s="18"/>
      <c r="H370" s="19"/>
      <c r="I370" s="18"/>
      <c r="J370" s="18"/>
      <c r="K370" s="18"/>
      <c r="L370" s="18"/>
      <c r="M370" s="18"/>
      <c r="N370" s="18"/>
      <c r="O370" s="18"/>
      <c r="R370" s="18"/>
      <c r="S370" s="18"/>
      <c r="T370" s="20"/>
    </row>
    <row r="371" spans="7:20" x14ac:dyDescent="0.2">
      <c r="G371" s="18"/>
      <c r="H371" s="19"/>
      <c r="I371" s="18"/>
      <c r="J371" s="18"/>
      <c r="K371" s="18"/>
      <c r="L371" s="18"/>
      <c r="M371" s="18"/>
      <c r="N371" s="18"/>
      <c r="O371" s="18"/>
      <c r="R371" s="18"/>
      <c r="S371" s="18"/>
      <c r="T371" s="20"/>
    </row>
    <row r="372" spans="7:20" x14ac:dyDescent="0.2">
      <c r="G372" s="18"/>
      <c r="H372" s="19"/>
      <c r="I372" s="18"/>
      <c r="J372" s="18"/>
      <c r="K372" s="18"/>
      <c r="L372" s="18"/>
      <c r="M372" s="18"/>
      <c r="N372" s="18"/>
      <c r="O372" s="18"/>
      <c r="R372" s="18"/>
      <c r="S372" s="18"/>
      <c r="T372" s="20"/>
    </row>
    <row r="373" spans="7:20" x14ac:dyDescent="0.2">
      <c r="G373" s="18"/>
      <c r="H373" s="19"/>
      <c r="I373" s="18"/>
      <c r="J373" s="18"/>
      <c r="K373" s="18"/>
      <c r="L373" s="18"/>
      <c r="M373" s="18"/>
      <c r="N373" s="18"/>
      <c r="O373" s="18"/>
      <c r="R373" s="18"/>
      <c r="S373" s="18"/>
      <c r="T373" s="20"/>
    </row>
    <row r="374" spans="7:20" x14ac:dyDescent="0.2">
      <c r="G374" s="18"/>
      <c r="H374" s="19"/>
      <c r="I374" s="18"/>
      <c r="J374" s="18"/>
      <c r="K374" s="18"/>
      <c r="L374" s="18"/>
      <c r="M374" s="18"/>
      <c r="N374" s="18"/>
      <c r="O374" s="18"/>
      <c r="R374" s="18"/>
      <c r="S374" s="18"/>
      <c r="T374" s="20"/>
    </row>
    <row r="375" spans="7:20" x14ac:dyDescent="0.2">
      <c r="G375" s="18"/>
      <c r="H375" s="19"/>
      <c r="I375" s="18"/>
      <c r="J375" s="18"/>
      <c r="K375" s="18"/>
      <c r="L375" s="18"/>
      <c r="M375" s="18"/>
      <c r="N375" s="18"/>
      <c r="O375" s="18"/>
      <c r="R375" s="18"/>
      <c r="S375" s="18"/>
      <c r="T375" s="20"/>
    </row>
    <row r="376" spans="7:20" x14ac:dyDescent="0.2">
      <c r="G376" s="18"/>
      <c r="H376" s="19"/>
      <c r="I376" s="18"/>
      <c r="J376" s="18"/>
      <c r="K376" s="18"/>
      <c r="L376" s="18"/>
      <c r="M376" s="18"/>
      <c r="N376" s="18"/>
      <c r="O376" s="18"/>
      <c r="R376" s="18"/>
      <c r="S376" s="18"/>
      <c r="T376" s="20"/>
    </row>
    <row r="377" spans="7:20" x14ac:dyDescent="0.2">
      <c r="G377" s="18"/>
      <c r="H377" s="19"/>
      <c r="I377" s="18"/>
      <c r="J377" s="18"/>
      <c r="K377" s="18"/>
      <c r="L377" s="18"/>
      <c r="M377" s="18"/>
      <c r="N377" s="18"/>
      <c r="O377" s="18"/>
      <c r="R377" s="18"/>
      <c r="S377" s="18"/>
      <c r="T377" s="20"/>
    </row>
    <row r="378" spans="7:20" x14ac:dyDescent="0.2">
      <c r="G378" s="18"/>
      <c r="H378" s="19"/>
      <c r="I378" s="18"/>
      <c r="J378" s="18"/>
      <c r="K378" s="18"/>
      <c r="L378" s="18"/>
      <c r="M378" s="18"/>
      <c r="N378" s="18"/>
      <c r="O378" s="18"/>
      <c r="S378" s="18"/>
      <c r="T378" s="20"/>
    </row>
    <row r="379" spans="7:20" x14ac:dyDescent="0.2">
      <c r="G379" s="18"/>
      <c r="H379" s="19"/>
      <c r="I379" s="18"/>
      <c r="J379" s="18"/>
      <c r="K379" s="18"/>
      <c r="L379" s="18"/>
      <c r="M379" s="18"/>
      <c r="N379" s="18"/>
      <c r="O379" s="18"/>
      <c r="S379" s="18"/>
      <c r="T379" s="20"/>
    </row>
    <row r="380" spans="7:20" x14ac:dyDescent="0.2">
      <c r="G380" s="18"/>
      <c r="H380" s="19"/>
      <c r="I380" s="18"/>
      <c r="J380" s="18"/>
      <c r="K380" s="18"/>
      <c r="L380" s="18"/>
      <c r="M380" s="18"/>
      <c r="N380" s="18"/>
      <c r="O380" s="18"/>
      <c r="S380" s="18"/>
      <c r="T380" s="20"/>
    </row>
    <row r="381" spans="7:20" x14ac:dyDescent="0.2">
      <c r="G381" s="18"/>
      <c r="H381" s="19"/>
      <c r="I381" s="18"/>
      <c r="J381" s="18"/>
      <c r="K381" s="18"/>
      <c r="L381" s="18"/>
      <c r="M381" s="18"/>
      <c r="N381" s="18"/>
      <c r="O381" s="18"/>
      <c r="S381" s="18"/>
      <c r="T381" s="20"/>
    </row>
    <row r="382" spans="7:20" x14ac:dyDescent="0.2">
      <c r="G382" s="18"/>
      <c r="H382" s="19"/>
      <c r="I382" s="18"/>
      <c r="J382" s="18"/>
      <c r="K382" s="18"/>
      <c r="L382" s="18"/>
      <c r="M382" s="18"/>
      <c r="N382" s="18"/>
      <c r="O382" s="18"/>
      <c r="S382" s="18"/>
      <c r="T382" s="20"/>
    </row>
    <row r="383" spans="7:20" x14ac:dyDescent="0.2">
      <c r="G383" s="18"/>
      <c r="H383" s="19"/>
      <c r="I383" s="18"/>
      <c r="J383" s="18"/>
      <c r="K383" s="18"/>
      <c r="L383" s="18"/>
      <c r="M383" s="18"/>
      <c r="N383" s="18"/>
      <c r="O383" s="18"/>
      <c r="S383" s="18"/>
      <c r="T383" s="20"/>
    </row>
    <row r="384" spans="7:20" x14ac:dyDescent="0.2">
      <c r="G384" s="18"/>
      <c r="H384" s="19"/>
      <c r="I384" s="18"/>
      <c r="J384" s="18"/>
      <c r="K384" s="18"/>
      <c r="L384" s="18"/>
      <c r="M384" s="18"/>
      <c r="N384" s="18"/>
      <c r="O384" s="18"/>
      <c r="S384" s="18"/>
      <c r="T384" s="20"/>
    </row>
    <row r="385" spans="7:20" x14ac:dyDescent="0.2">
      <c r="G385" s="18"/>
      <c r="H385" s="19"/>
      <c r="I385" s="18"/>
      <c r="J385" s="18"/>
      <c r="K385" s="18"/>
      <c r="L385" s="18"/>
      <c r="M385" s="18"/>
      <c r="N385" s="18"/>
      <c r="O385" s="18"/>
      <c r="S385" s="18"/>
      <c r="T385" s="20"/>
    </row>
    <row r="386" spans="7:20" x14ac:dyDescent="0.2">
      <c r="G386" s="18"/>
      <c r="H386" s="19"/>
      <c r="I386" s="18"/>
      <c r="J386" s="18"/>
      <c r="K386" s="18"/>
      <c r="L386" s="18"/>
      <c r="M386" s="18"/>
      <c r="N386" s="18"/>
      <c r="O386" s="18"/>
      <c r="S386" s="18"/>
      <c r="T386" s="20"/>
    </row>
    <row r="387" spans="7:20" x14ac:dyDescent="0.2">
      <c r="G387" s="18"/>
      <c r="H387" s="19"/>
      <c r="I387" s="18"/>
      <c r="J387" s="18"/>
      <c r="K387" s="18"/>
      <c r="L387" s="18"/>
      <c r="M387" s="18"/>
      <c r="N387" s="18"/>
      <c r="O387" s="18"/>
      <c r="S387" s="18"/>
      <c r="T387" s="20"/>
    </row>
    <row r="388" spans="7:20" x14ac:dyDescent="0.2">
      <c r="G388" s="18"/>
      <c r="H388" s="19"/>
      <c r="I388" s="18"/>
      <c r="J388" s="18"/>
      <c r="K388" s="18"/>
      <c r="L388" s="18"/>
      <c r="M388" s="18"/>
      <c r="N388" s="18"/>
      <c r="O388" s="18"/>
      <c r="S388" s="18"/>
      <c r="T388" s="20"/>
    </row>
    <row r="389" spans="7:20" x14ac:dyDescent="0.2">
      <c r="G389" s="18"/>
      <c r="H389" s="19"/>
      <c r="I389" s="18"/>
      <c r="J389" s="18"/>
      <c r="K389" s="18"/>
      <c r="L389" s="18"/>
      <c r="M389" s="18"/>
      <c r="N389" s="18"/>
      <c r="O389" s="18"/>
      <c r="S389" s="18"/>
      <c r="T389" s="20"/>
    </row>
    <row r="390" spans="7:20" x14ac:dyDescent="0.2">
      <c r="G390" s="18"/>
      <c r="H390" s="19"/>
      <c r="I390" s="18"/>
      <c r="J390" s="18"/>
      <c r="K390" s="18"/>
      <c r="L390" s="18"/>
      <c r="M390" s="18"/>
      <c r="N390" s="18"/>
      <c r="O390" s="18"/>
      <c r="S390" s="18"/>
      <c r="T390" s="20"/>
    </row>
    <row r="391" spans="7:20" x14ac:dyDescent="0.2">
      <c r="G391" s="18"/>
      <c r="H391" s="19"/>
      <c r="I391" s="18"/>
      <c r="J391" s="18"/>
      <c r="K391" s="18"/>
      <c r="L391" s="18"/>
      <c r="M391" s="18"/>
      <c r="N391" s="18"/>
      <c r="O391" s="18"/>
      <c r="S391" s="18"/>
      <c r="T391" s="20"/>
    </row>
    <row r="392" spans="7:20" x14ac:dyDescent="0.2">
      <c r="G392" s="18"/>
      <c r="H392" s="19"/>
      <c r="I392" s="18"/>
      <c r="J392" s="18"/>
      <c r="K392" s="18"/>
      <c r="L392" s="18"/>
      <c r="M392" s="18"/>
      <c r="N392" s="18"/>
      <c r="O392" s="18"/>
      <c r="S392" s="18"/>
      <c r="T392" s="20"/>
    </row>
    <row r="393" spans="7:20" x14ac:dyDescent="0.2">
      <c r="G393" s="18"/>
      <c r="H393" s="19"/>
      <c r="I393" s="18"/>
      <c r="J393" s="18"/>
      <c r="K393" s="18"/>
      <c r="L393" s="18"/>
      <c r="M393" s="18"/>
      <c r="N393" s="18"/>
      <c r="O393" s="18"/>
      <c r="S393" s="18"/>
      <c r="T393" s="20"/>
    </row>
    <row r="394" spans="7:20" x14ac:dyDescent="0.2">
      <c r="G394" s="18"/>
      <c r="H394" s="19"/>
      <c r="I394" s="18"/>
      <c r="J394" s="18"/>
      <c r="K394" s="18"/>
      <c r="L394" s="18"/>
      <c r="M394" s="18"/>
      <c r="N394" s="18"/>
      <c r="O394" s="18"/>
      <c r="S394" s="18"/>
      <c r="T394" s="20"/>
    </row>
    <row r="395" spans="7:20" x14ac:dyDescent="0.2">
      <c r="G395" s="18"/>
      <c r="H395" s="19"/>
      <c r="I395" s="18"/>
      <c r="J395" s="18"/>
      <c r="K395" s="18"/>
      <c r="L395" s="18"/>
      <c r="M395" s="18"/>
      <c r="N395" s="18"/>
      <c r="O395" s="18"/>
      <c r="S395" s="18"/>
      <c r="T395" s="20"/>
    </row>
    <row r="396" spans="7:20" x14ac:dyDescent="0.2">
      <c r="G396" s="18"/>
      <c r="H396" s="19"/>
      <c r="I396" s="18"/>
      <c r="J396" s="18"/>
      <c r="K396" s="18"/>
      <c r="L396" s="18"/>
      <c r="M396" s="18"/>
      <c r="N396" s="18"/>
      <c r="O396" s="18"/>
      <c r="S396" s="18"/>
      <c r="T396" s="20"/>
    </row>
    <row r="397" spans="7:20" x14ac:dyDescent="0.2">
      <c r="G397" s="18"/>
      <c r="H397" s="19"/>
      <c r="I397" s="18"/>
      <c r="J397" s="18"/>
      <c r="K397" s="18"/>
      <c r="L397" s="18"/>
      <c r="M397" s="18"/>
      <c r="N397" s="18"/>
      <c r="O397" s="18"/>
      <c r="S397" s="18"/>
      <c r="T397" s="20"/>
    </row>
    <row r="398" spans="7:20" x14ac:dyDescent="0.2">
      <c r="G398" s="18"/>
      <c r="H398" s="19"/>
      <c r="I398" s="18"/>
      <c r="J398" s="18"/>
      <c r="K398" s="18"/>
      <c r="L398" s="18"/>
      <c r="M398" s="18"/>
      <c r="N398" s="18"/>
      <c r="O398" s="18"/>
      <c r="S398" s="18"/>
      <c r="T398" s="20"/>
    </row>
    <row r="399" spans="7:20" x14ac:dyDescent="0.2">
      <c r="G399" s="18"/>
      <c r="H399" s="19"/>
      <c r="I399" s="18"/>
      <c r="J399" s="18"/>
      <c r="K399" s="18"/>
      <c r="L399" s="18"/>
      <c r="M399" s="18"/>
      <c r="N399" s="18"/>
      <c r="O399" s="18"/>
      <c r="S399" s="18"/>
      <c r="T399" s="20"/>
    </row>
    <row r="400" spans="7:20" x14ac:dyDescent="0.2">
      <c r="G400" s="18"/>
      <c r="H400" s="19"/>
      <c r="I400" s="18"/>
      <c r="J400" s="18"/>
      <c r="K400" s="18"/>
      <c r="L400" s="18"/>
      <c r="M400" s="18"/>
      <c r="N400" s="18"/>
      <c r="O400" s="18"/>
      <c r="S400" s="18"/>
      <c r="T400" s="20"/>
    </row>
    <row r="401" spans="7:20" x14ac:dyDescent="0.2">
      <c r="G401" s="18"/>
      <c r="H401" s="19"/>
      <c r="I401" s="18"/>
      <c r="J401" s="18"/>
      <c r="K401" s="18"/>
      <c r="L401" s="18"/>
      <c r="M401" s="18"/>
      <c r="N401" s="18"/>
      <c r="O401" s="18"/>
      <c r="S401" s="18"/>
      <c r="T401" s="20"/>
    </row>
    <row r="402" spans="7:20" x14ac:dyDescent="0.2">
      <c r="G402" s="18"/>
      <c r="H402" s="19"/>
      <c r="I402" s="18"/>
      <c r="J402" s="18"/>
      <c r="K402" s="18"/>
      <c r="L402" s="18"/>
      <c r="M402" s="18"/>
      <c r="N402" s="18"/>
      <c r="O402" s="18"/>
      <c r="S402" s="18"/>
      <c r="T402" s="20"/>
    </row>
    <row r="403" spans="7:20" x14ac:dyDescent="0.2">
      <c r="G403" s="18"/>
      <c r="H403" s="19"/>
      <c r="I403" s="18"/>
      <c r="J403" s="18"/>
      <c r="K403" s="18"/>
      <c r="L403" s="18"/>
      <c r="M403" s="18"/>
      <c r="N403" s="18"/>
      <c r="O403" s="18"/>
      <c r="S403" s="18"/>
      <c r="T403" s="20"/>
    </row>
    <row r="404" spans="7:20" x14ac:dyDescent="0.2">
      <c r="G404" s="18"/>
      <c r="H404" s="19"/>
      <c r="I404" s="18"/>
      <c r="J404" s="18"/>
      <c r="K404" s="18"/>
      <c r="L404" s="18"/>
      <c r="M404" s="18"/>
      <c r="N404" s="18"/>
      <c r="O404" s="18"/>
      <c r="S404" s="18"/>
      <c r="T404" s="20"/>
    </row>
    <row r="405" spans="7:20" x14ac:dyDescent="0.2">
      <c r="G405" s="18"/>
      <c r="H405" s="19"/>
      <c r="I405" s="18"/>
      <c r="J405" s="18"/>
      <c r="K405" s="18"/>
      <c r="L405" s="18"/>
      <c r="M405" s="18"/>
      <c r="N405" s="18"/>
      <c r="O405" s="18"/>
      <c r="S405" s="18"/>
      <c r="T405" s="20"/>
    </row>
    <row r="406" spans="7:20" x14ac:dyDescent="0.2">
      <c r="G406" s="18"/>
      <c r="H406" s="19"/>
      <c r="I406" s="18"/>
      <c r="J406" s="18"/>
      <c r="K406" s="18"/>
      <c r="L406" s="18"/>
      <c r="M406" s="18"/>
      <c r="N406" s="18"/>
      <c r="O406" s="18"/>
      <c r="S406" s="18"/>
      <c r="T406" s="20"/>
    </row>
    <row r="407" spans="7:20" x14ac:dyDescent="0.2">
      <c r="G407" s="18"/>
      <c r="H407" s="19"/>
      <c r="I407" s="18"/>
      <c r="J407" s="18"/>
      <c r="K407" s="18"/>
      <c r="L407" s="18"/>
      <c r="M407" s="18"/>
      <c r="N407" s="18"/>
      <c r="O407" s="18"/>
      <c r="S407" s="18"/>
      <c r="T407" s="20"/>
    </row>
    <row r="408" spans="7:20" x14ac:dyDescent="0.2">
      <c r="G408" s="18"/>
      <c r="H408" s="19"/>
      <c r="I408" s="18"/>
      <c r="J408" s="18"/>
      <c r="K408" s="18"/>
      <c r="L408" s="18"/>
      <c r="M408" s="18"/>
      <c r="N408" s="18"/>
      <c r="O408" s="18"/>
      <c r="S408" s="18"/>
      <c r="T408" s="20"/>
    </row>
    <row r="409" spans="7:20" x14ac:dyDescent="0.2">
      <c r="G409" s="18"/>
      <c r="H409" s="19"/>
      <c r="I409" s="18"/>
      <c r="J409" s="18"/>
      <c r="K409" s="18"/>
      <c r="L409" s="18"/>
      <c r="M409" s="18"/>
      <c r="N409" s="18"/>
      <c r="O409" s="18"/>
      <c r="S409" s="18"/>
      <c r="T409" s="20"/>
    </row>
    <row r="410" spans="7:20" x14ac:dyDescent="0.2">
      <c r="G410" s="18"/>
      <c r="H410" s="19"/>
      <c r="I410" s="18"/>
      <c r="J410" s="18"/>
      <c r="K410" s="18"/>
      <c r="L410" s="18"/>
      <c r="M410" s="18"/>
      <c r="N410" s="18"/>
      <c r="O410" s="18"/>
      <c r="S410" s="18"/>
      <c r="T410" s="20"/>
    </row>
    <row r="411" spans="7:20" x14ac:dyDescent="0.2">
      <c r="G411" s="18"/>
      <c r="H411" s="19"/>
      <c r="I411" s="18"/>
      <c r="J411" s="18"/>
      <c r="K411" s="18"/>
      <c r="L411" s="18"/>
      <c r="M411" s="18"/>
      <c r="N411" s="18"/>
      <c r="O411" s="18"/>
      <c r="S411" s="18"/>
      <c r="T411" s="20"/>
    </row>
    <row r="412" spans="7:20" x14ac:dyDescent="0.2">
      <c r="G412" s="18"/>
      <c r="H412" s="19"/>
      <c r="I412" s="18"/>
      <c r="J412" s="18"/>
      <c r="K412" s="18"/>
      <c r="L412" s="18"/>
      <c r="M412" s="18"/>
      <c r="N412" s="18"/>
      <c r="O412" s="18"/>
      <c r="S412" s="18"/>
      <c r="T412" s="20"/>
    </row>
    <row r="413" spans="7:20" x14ac:dyDescent="0.2">
      <c r="G413" s="18"/>
      <c r="H413" s="19"/>
      <c r="I413" s="18"/>
      <c r="J413" s="18"/>
      <c r="K413" s="18"/>
      <c r="L413" s="18"/>
      <c r="M413" s="18"/>
      <c r="N413" s="18"/>
      <c r="O413" s="18"/>
      <c r="S413" s="18"/>
      <c r="T413" s="20"/>
    </row>
    <row r="414" spans="7:20" x14ac:dyDescent="0.2">
      <c r="G414" s="18"/>
      <c r="H414" s="19"/>
      <c r="I414" s="18"/>
      <c r="J414" s="18"/>
      <c r="K414" s="18"/>
      <c r="L414" s="18"/>
      <c r="M414" s="18"/>
      <c r="N414" s="18"/>
      <c r="O414" s="18"/>
      <c r="S414" s="18"/>
      <c r="T414" s="20"/>
    </row>
    <row r="415" spans="7:20" x14ac:dyDescent="0.2">
      <c r="G415" s="18"/>
      <c r="H415" s="19"/>
      <c r="I415" s="18"/>
      <c r="J415" s="18"/>
      <c r="K415" s="18"/>
      <c r="L415" s="18"/>
      <c r="M415" s="18"/>
      <c r="N415" s="18"/>
      <c r="O415" s="18"/>
      <c r="S415" s="18"/>
      <c r="T415" s="20"/>
    </row>
    <row r="416" spans="7:20" x14ac:dyDescent="0.2">
      <c r="G416" s="18"/>
      <c r="H416" s="19"/>
      <c r="I416" s="18"/>
      <c r="J416" s="18"/>
      <c r="K416" s="18"/>
      <c r="L416" s="18"/>
      <c r="M416" s="18"/>
      <c r="N416" s="18"/>
      <c r="O416" s="18"/>
      <c r="S416" s="18"/>
      <c r="T416" s="20"/>
    </row>
    <row r="417" spans="7:20" x14ac:dyDescent="0.2">
      <c r="G417" s="18"/>
      <c r="H417" s="19"/>
      <c r="I417" s="18"/>
      <c r="J417" s="18"/>
      <c r="K417" s="18"/>
      <c r="L417" s="18"/>
      <c r="M417" s="18"/>
      <c r="N417" s="18"/>
      <c r="O417" s="18"/>
      <c r="S417" s="18"/>
      <c r="T417" s="20"/>
    </row>
    <row r="418" spans="7:20" x14ac:dyDescent="0.2">
      <c r="G418" s="18"/>
      <c r="H418" s="19"/>
      <c r="I418" s="18"/>
      <c r="J418" s="18"/>
      <c r="K418" s="18"/>
      <c r="L418" s="18"/>
      <c r="M418" s="18"/>
      <c r="N418" s="18"/>
      <c r="O418" s="18"/>
      <c r="S418" s="18"/>
      <c r="T418" s="20"/>
    </row>
    <row r="419" spans="7:20" x14ac:dyDescent="0.2">
      <c r="G419" s="18"/>
      <c r="H419" s="19"/>
      <c r="I419" s="18"/>
      <c r="J419" s="18"/>
      <c r="K419" s="18"/>
      <c r="L419" s="18"/>
      <c r="M419" s="18"/>
      <c r="N419" s="18"/>
      <c r="O419" s="18"/>
      <c r="S419" s="18"/>
      <c r="T419" s="20"/>
    </row>
    <row r="420" spans="7:20" x14ac:dyDescent="0.2">
      <c r="G420" s="18"/>
      <c r="H420" s="19"/>
      <c r="I420" s="18"/>
      <c r="J420" s="18"/>
      <c r="K420" s="18"/>
      <c r="L420" s="18"/>
      <c r="M420" s="18"/>
      <c r="N420" s="18"/>
      <c r="O420" s="18"/>
      <c r="S420" s="18"/>
      <c r="T420" s="20"/>
    </row>
    <row r="421" spans="7:20" x14ac:dyDescent="0.2">
      <c r="G421" s="18"/>
      <c r="H421" s="19"/>
      <c r="I421" s="18"/>
      <c r="J421" s="18"/>
      <c r="K421" s="18"/>
      <c r="L421" s="18"/>
      <c r="M421" s="18"/>
      <c r="N421" s="18"/>
      <c r="O421" s="18"/>
      <c r="S421" s="18"/>
      <c r="T421" s="20"/>
    </row>
    <row r="422" spans="7:20" x14ac:dyDescent="0.2">
      <c r="G422" s="18"/>
      <c r="H422" s="19"/>
      <c r="I422" s="18"/>
      <c r="J422" s="18"/>
      <c r="K422" s="18"/>
      <c r="L422" s="18"/>
      <c r="M422" s="18"/>
      <c r="N422" s="18"/>
      <c r="O422" s="18"/>
      <c r="S422" s="18"/>
      <c r="T422" s="20"/>
    </row>
    <row r="423" spans="7:20" x14ac:dyDescent="0.2">
      <c r="G423" s="18"/>
      <c r="H423" s="19"/>
      <c r="I423" s="18"/>
      <c r="J423" s="18"/>
      <c r="K423" s="18"/>
      <c r="L423" s="18"/>
      <c r="M423" s="18"/>
      <c r="N423" s="18"/>
      <c r="O423" s="18"/>
      <c r="S423" s="18"/>
      <c r="T423" s="20"/>
    </row>
    <row r="424" spans="7:20" x14ac:dyDescent="0.2">
      <c r="G424" s="18"/>
      <c r="H424" s="19"/>
      <c r="I424" s="18"/>
      <c r="J424" s="18"/>
      <c r="K424" s="18"/>
      <c r="L424" s="18"/>
      <c r="M424" s="18"/>
      <c r="N424" s="18"/>
      <c r="O424" s="18"/>
      <c r="S424" s="18"/>
      <c r="T424" s="20"/>
    </row>
    <row r="425" spans="7:20" x14ac:dyDescent="0.2">
      <c r="G425" s="18"/>
      <c r="H425" s="19"/>
      <c r="I425" s="18"/>
      <c r="J425" s="18"/>
      <c r="K425" s="18"/>
      <c r="L425" s="18"/>
      <c r="M425" s="18"/>
      <c r="N425" s="18"/>
      <c r="O425" s="18"/>
      <c r="S425" s="18"/>
      <c r="T425" s="20"/>
    </row>
    <row r="426" spans="7:20" x14ac:dyDescent="0.2">
      <c r="G426" s="18"/>
      <c r="H426" s="19"/>
      <c r="I426" s="18"/>
      <c r="J426" s="18"/>
      <c r="K426" s="18"/>
      <c r="L426" s="18"/>
      <c r="M426" s="18"/>
      <c r="N426" s="18"/>
      <c r="O426" s="18"/>
      <c r="S426" s="18"/>
      <c r="T426" s="20"/>
    </row>
    <row r="427" spans="7:20" x14ac:dyDescent="0.2">
      <c r="G427" s="18"/>
      <c r="H427" s="19"/>
      <c r="I427" s="18"/>
      <c r="J427" s="18"/>
      <c r="K427" s="18"/>
      <c r="L427" s="18"/>
      <c r="M427" s="18"/>
      <c r="N427" s="18"/>
      <c r="O427" s="18"/>
      <c r="S427" s="18"/>
      <c r="T427" s="20"/>
    </row>
    <row r="428" spans="7:20" x14ac:dyDescent="0.2">
      <c r="G428" s="18"/>
      <c r="H428" s="19"/>
      <c r="I428" s="18"/>
      <c r="J428" s="18"/>
      <c r="K428" s="18"/>
      <c r="L428" s="18"/>
      <c r="M428" s="18"/>
      <c r="N428" s="18"/>
      <c r="O428" s="18"/>
      <c r="S428" s="18"/>
      <c r="T428" s="20"/>
    </row>
    <row r="429" spans="7:20" x14ac:dyDescent="0.2">
      <c r="G429" s="18"/>
      <c r="H429" s="19"/>
      <c r="I429" s="18"/>
      <c r="J429" s="18"/>
      <c r="K429" s="18"/>
      <c r="L429" s="18"/>
      <c r="M429" s="18"/>
      <c r="N429" s="18"/>
      <c r="O429" s="18"/>
      <c r="S429" s="18"/>
      <c r="T429" s="20"/>
    </row>
    <row r="430" spans="7:20" x14ac:dyDescent="0.2">
      <c r="G430" s="18"/>
      <c r="H430" s="19"/>
      <c r="I430" s="18"/>
      <c r="J430" s="18"/>
      <c r="K430" s="18"/>
      <c r="L430" s="18"/>
      <c r="M430" s="18"/>
      <c r="N430" s="18"/>
      <c r="O430" s="18"/>
      <c r="S430" s="18"/>
      <c r="T430" s="20"/>
    </row>
    <row r="431" spans="7:20" x14ac:dyDescent="0.2">
      <c r="G431" s="18"/>
      <c r="H431" s="19"/>
      <c r="I431" s="18"/>
      <c r="J431" s="18"/>
      <c r="K431" s="18"/>
      <c r="L431" s="18"/>
      <c r="M431" s="18"/>
      <c r="N431" s="18"/>
      <c r="O431" s="18"/>
      <c r="S431" s="18"/>
      <c r="T431" s="20"/>
    </row>
    <row r="432" spans="7:20" x14ac:dyDescent="0.2">
      <c r="G432" s="18"/>
      <c r="H432" s="19"/>
      <c r="I432" s="18"/>
      <c r="J432" s="18"/>
      <c r="K432" s="18"/>
      <c r="L432" s="18"/>
      <c r="M432" s="18"/>
      <c r="N432" s="18"/>
      <c r="O432" s="18"/>
      <c r="S432" s="18"/>
      <c r="T432" s="20"/>
    </row>
    <row r="433" spans="7:20" x14ac:dyDescent="0.2">
      <c r="G433" s="18"/>
      <c r="H433" s="19"/>
      <c r="I433" s="18"/>
      <c r="J433" s="18"/>
      <c r="K433" s="18"/>
      <c r="L433" s="18"/>
      <c r="M433" s="18"/>
      <c r="N433" s="18"/>
      <c r="O433" s="18"/>
      <c r="S433" s="18"/>
      <c r="T433" s="20"/>
    </row>
    <row r="434" spans="7:20" x14ac:dyDescent="0.2">
      <c r="G434" s="18"/>
      <c r="H434" s="19"/>
      <c r="I434" s="18"/>
      <c r="J434" s="18"/>
      <c r="K434" s="18"/>
      <c r="L434" s="18"/>
      <c r="M434" s="18"/>
      <c r="N434" s="18"/>
      <c r="O434" s="18"/>
      <c r="S434" s="18"/>
      <c r="T434" s="20"/>
    </row>
    <row r="435" spans="7:20" x14ac:dyDescent="0.2">
      <c r="G435" s="18"/>
      <c r="H435" s="19"/>
      <c r="I435" s="18"/>
      <c r="J435" s="18"/>
      <c r="K435" s="18"/>
      <c r="L435" s="18"/>
      <c r="M435" s="18"/>
      <c r="N435" s="18"/>
      <c r="O435" s="18"/>
      <c r="S435" s="18"/>
      <c r="T435" s="20"/>
    </row>
    <row r="436" spans="7:20" x14ac:dyDescent="0.2">
      <c r="G436" s="18"/>
      <c r="H436" s="19"/>
      <c r="I436" s="18"/>
      <c r="J436" s="18"/>
      <c r="K436" s="18"/>
      <c r="L436" s="18"/>
      <c r="M436" s="18"/>
      <c r="N436" s="18"/>
      <c r="O436" s="18"/>
      <c r="S436" s="18"/>
      <c r="T436" s="20"/>
    </row>
    <row r="437" spans="7:20" x14ac:dyDescent="0.2">
      <c r="G437" s="18"/>
      <c r="H437" s="19"/>
      <c r="I437" s="18"/>
      <c r="J437" s="18"/>
      <c r="K437" s="18"/>
      <c r="L437" s="18"/>
      <c r="M437" s="18"/>
      <c r="N437" s="18"/>
      <c r="O437" s="18"/>
      <c r="S437" s="18"/>
      <c r="T437" s="20"/>
    </row>
    <row r="438" spans="7:20" x14ac:dyDescent="0.2">
      <c r="G438" s="18"/>
      <c r="H438" s="19"/>
      <c r="I438" s="18"/>
      <c r="J438" s="18"/>
      <c r="K438" s="18"/>
      <c r="L438" s="18"/>
      <c r="M438" s="18"/>
      <c r="N438" s="18"/>
      <c r="O438" s="18"/>
      <c r="S438" s="18"/>
      <c r="T438" s="20"/>
    </row>
    <row r="439" spans="7:20" x14ac:dyDescent="0.2">
      <c r="G439" s="18"/>
      <c r="H439" s="19"/>
      <c r="I439" s="18"/>
      <c r="J439" s="18"/>
      <c r="K439" s="18"/>
      <c r="L439" s="18"/>
      <c r="M439" s="18"/>
      <c r="N439" s="18"/>
      <c r="O439" s="18"/>
      <c r="S439" s="18"/>
      <c r="T439" s="20"/>
    </row>
    <row r="440" spans="7:20" x14ac:dyDescent="0.2">
      <c r="G440" s="18"/>
      <c r="H440" s="19"/>
      <c r="I440" s="18"/>
      <c r="J440" s="18"/>
      <c r="K440" s="18"/>
      <c r="L440" s="18"/>
      <c r="M440" s="18"/>
      <c r="N440" s="18"/>
      <c r="O440" s="18"/>
      <c r="S440" s="18"/>
      <c r="T440" s="20"/>
    </row>
    <row r="441" spans="7:20" x14ac:dyDescent="0.2">
      <c r="G441" s="18"/>
      <c r="H441" s="19"/>
      <c r="I441" s="18"/>
      <c r="J441" s="18"/>
      <c r="K441" s="18"/>
      <c r="L441" s="18"/>
      <c r="M441" s="18"/>
      <c r="N441" s="18"/>
      <c r="O441" s="18"/>
      <c r="S441" s="18"/>
      <c r="T441" s="20"/>
    </row>
    <row r="442" spans="7:20" x14ac:dyDescent="0.2">
      <c r="G442" s="18"/>
      <c r="H442" s="19"/>
      <c r="I442" s="18"/>
      <c r="J442" s="18"/>
      <c r="K442" s="18"/>
      <c r="L442" s="18"/>
      <c r="M442" s="18"/>
      <c r="N442" s="18"/>
      <c r="O442" s="18"/>
      <c r="S442" s="18"/>
      <c r="T442" s="20"/>
    </row>
    <row r="443" spans="7:20" x14ac:dyDescent="0.2">
      <c r="G443" s="18"/>
      <c r="H443" s="19"/>
      <c r="I443" s="18"/>
      <c r="J443" s="18"/>
      <c r="K443" s="18"/>
      <c r="L443" s="18"/>
      <c r="M443" s="18"/>
      <c r="N443" s="18"/>
      <c r="O443" s="18"/>
      <c r="S443" s="18"/>
      <c r="T443" s="20"/>
    </row>
    <row r="444" spans="7:20" x14ac:dyDescent="0.2">
      <c r="G444" s="18"/>
      <c r="H444" s="19"/>
      <c r="I444" s="18"/>
      <c r="J444" s="18"/>
      <c r="K444" s="18"/>
      <c r="L444" s="18"/>
      <c r="M444" s="18"/>
      <c r="N444" s="18"/>
      <c r="O444" s="18"/>
      <c r="S444" s="18"/>
      <c r="T444" s="20"/>
    </row>
    <row r="445" spans="7:20" x14ac:dyDescent="0.2">
      <c r="G445" s="18"/>
      <c r="H445" s="19"/>
      <c r="I445" s="18"/>
      <c r="J445" s="18"/>
      <c r="K445" s="18"/>
      <c r="L445" s="18"/>
      <c r="M445" s="18"/>
      <c r="N445" s="18"/>
      <c r="O445" s="18"/>
      <c r="S445" s="18"/>
      <c r="T445" s="20"/>
    </row>
    <row r="446" spans="7:20" x14ac:dyDescent="0.2">
      <c r="G446" s="18"/>
      <c r="H446" s="19"/>
      <c r="I446" s="18"/>
      <c r="J446" s="18"/>
      <c r="K446" s="18"/>
      <c r="L446" s="18"/>
      <c r="M446" s="18"/>
      <c r="N446" s="18"/>
      <c r="O446" s="18"/>
      <c r="S446" s="18"/>
      <c r="T446" s="20"/>
    </row>
    <row r="447" spans="7:20" x14ac:dyDescent="0.2">
      <c r="G447" s="18"/>
      <c r="H447" s="19"/>
      <c r="I447" s="18"/>
      <c r="J447" s="18"/>
      <c r="K447" s="18"/>
      <c r="L447" s="18"/>
      <c r="M447" s="18"/>
      <c r="N447" s="18"/>
      <c r="O447" s="18"/>
      <c r="S447" s="18"/>
      <c r="T447" s="20"/>
    </row>
    <row r="448" spans="7:20" x14ac:dyDescent="0.2">
      <c r="G448" s="18"/>
      <c r="H448" s="19"/>
      <c r="I448" s="18"/>
      <c r="J448" s="18"/>
      <c r="K448" s="18"/>
      <c r="L448" s="18"/>
      <c r="M448" s="18"/>
      <c r="N448" s="18"/>
      <c r="O448" s="18"/>
      <c r="S448" s="18"/>
      <c r="T448" s="20"/>
    </row>
    <row r="449" spans="7:20" x14ac:dyDescent="0.2">
      <c r="G449" s="18"/>
      <c r="H449" s="19"/>
      <c r="I449" s="18"/>
      <c r="J449" s="18"/>
      <c r="K449" s="18"/>
      <c r="L449" s="18"/>
      <c r="M449" s="18"/>
      <c r="N449" s="18"/>
      <c r="O449" s="18"/>
      <c r="S449" s="18"/>
      <c r="T449" s="20"/>
    </row>
    <row r="450" spans="7:20" x14ac:dyDescent="0.2">
      <c r="G450" s="18"/>
      <c r="H450" s="19"/>
      <c r="I450" s="18"/>
      <c r="J450" s="18"/>
      <c r="K450" s="18"/>
      <c r="L450" s="18"/>
      <c r="M450" s="18"/>
      <c r="N450" s="18"/>
      <c r="O450" s="18"/>
      <c r="S450" s="18"/>
      <c r="T450" s="20"/>
    </row>
    <row r="451" spans="7:20" x14ac:dyDescent="0.2">
      <c r="G451" s="18"/>
      <c r="H451" s="19"/>
      <c r="I451" s="18"/>
      <c r="J451" s="18"/>
      <c r="K451" s="18"/>
      <c r="L451" s="18"/>
      <c r="M451" s="18"/>
      <c r="N451" s="18"/>
      <c r="O451" s="18"/>
      <c r="S451" s="18"/>
      <c r="T451" s="20"/>
    </row>
    <row r="452" spans="7:20" x14ac:dyDescent="0.2">
      <c r="G452" s="18"/>
      <c r="H452" s="19"/>
      <c r="I452" s="18"/>
      <c r="J452" s="18"/>
      <c r="K452" s="18"/>
      <c r="L452" s="18"/>
      <c r="M452" s="18"/>
      <c r="N452" s="18"/>
      <c r="O452" s="18"/>
      <c r="S452" s="18"/>
      <c r="T452" s="20"/>
    </row>
    <row r="453" spans="7:20" x14ac:dyDescent="0.2">
      <c r="G453" s="18"/>
      <c r="H453" s="19"/>
      <c r="I453" s="18"/>
      <c r="J453" s="18"/>
      <c r="K453" s="18"/>
      <c r="L453" s="18"/>
      <c r="M453" s="18"/>
      <c r="N453" s="18"/>
      <c r="O453" s="18"/>
      <c r="S453" s="18"/>
      <c r="T453" s="20"/>
    </row>
    <row r="454" spans="7:20" x14ac:dyDescent="0.2">
      <c r="G454" s="18"/>
      <c r="H454" s="19"/>
      <c r="I454" s="18"/>
      <c r="J454" s="18"/>
      <c r="K454" s="18"/>
      <c r="L454" s="18"/>
      <c r="M454" s="18"/>
      <c r="N454" s="18"/>
      <c r="O454" s="18"/>
      <c r="S454" s="18"/>
      <c r="T454" s="20"/>
    </row>
    <row r="455" spans="7:20" x14ac:dyDescent="0.2">
      <c r="G455" s="18"/>
      <c r="H455" s="19"/>
      <c r="I455" s="18"/>
      <c r="J455" s="18"/>
      <c r="K455" s="18"/>
      <c r="L455" s="18"/>
      <c r="M455" s="18"/>
      <c r="N455" s="18"/>
      <c r="O455" s="18"/>
      <c r="S455" s="18"/>
      <c r="T455" s="20"/>
    </row>
    <row r="456" spans="7:20" x14ac:dyDescent="0.2">
      <c r="G456" s="18"/>
      <c r="H456" s="19"/>
      <c r="I456" s="18"/>
      <c r="J456" s="18"/>
      <c r="K456" s="18"/>
      <c r="L456" s="18"/>
      <c r="M456" s="18"/>
      <c r="N456" s="18"/>
      <c r="O456" s="18"/>
      <c r="S456" s="18"/>
      <c r="T456" s="20"/>
    </row>
    <row r="457" spans="7:20" x14ac:dyDescent="0.2">
      <c r="G457" s="18"/>
      <c r="H457" s="19"/>
      <c r="I457" s="18"/>
      <c r="J457" s="18"/>
      <c r="K457" s="18"/>
      <c r="L457" s="18"/>
      <c r="M457" s="18"/>
      <c r="N457" s="18"/>
      <c r="O457" s="18"/>
      <c r="S457" s="18"/>
      <c r="T457" s="20"/>
    </row>
    <row r="458" spans="7:20" x14ac:dyDescent="0.2">
      <c r="G458" s="18"/>
      <c r="H458" s="19"/>
      <c r="I458" s="18"/>
      <c r="J458" s="18"/>
      <c r="K458" s="18"/>
      <c r="L458" s="18"/>
      <c r="M458" s="18"/>
      <c r="N458" s="18"/>
      <c r="O458" s="18"/>
      <c r="S458" s="18"/>
      <c r="T458" s="20"/>
    </row>
    <row r="459" spans="7:20" x14ac:dyDescent="0.2">
      <c r="G459" s="18"/>
      <c r="H459" s="19"/>
      <c r="I459" s="18"/>
      <c r="J459" s="18"/>
      <c r="K459" s="18"/>
      <c r="L459" s="18"/>
      <c r="M459" s="18"/>
      <c r="N459" s="18"/>
      <c r="O459" s="18"/>
      <c r="S459" s="18"/>
      <c r="T459" s="20"/>
    </row>
    <row r="460" spans="7:20" x14ac:dyDescent="0.2">
      <c r="G460" s="18"/>
      <c r="H460" s="19"/>
      <c r="I460" s="18"/>
      <c r="J460" s="18"/>
      <c r="K460" s="18"/>
      <c r="L460" s="18"/>
      <c r="M460" s="18"/>
      <c r="N460" s="18"/>
      <c r="O460" s="18"/>
      <c r="S460" s="18"/>
      <c r="T460" s="20"/>
    </row>
    <row r="461" spans="7:20" x14ac:dyDescent="0.2">
      <c r="G461" s="18"/>
      <c r="H461" s="19"/>
      <c r="I461" s="18"/>
      <c r="J461" s="18"/>
      <c r="K461" s="18"/>
      <c r="L461" s="18"/>
      <c r="M461" s="18"/>
      <c r="N461" s="18"/>
      <c r="O461" s="18"/>
      <c r="S461" s="18"/>
      <c r="T461" s="20"/>
    </row>
    <row r="462" spans="7:20" x14ac:dyDescent="0.2">
      <c r="G462" s="18"/>
      <c r="H462" s="19"/>
      <c r="I462" s="18"/>
      <c r="J462" s="18"/>
      <c r="K462" s="18"/>
      <c r="L462" s="18"/>
      <c r="M462" s="18"/>
      <c r="N462" s="18"/>
      <c r="O462" s="18"/>
      <c r="S462" s="18"/>
      <c r="T462" s="20"/>
    </row>
    <row r="463" spans="7:20" x14ac:dyDescent="0.2">
      <c r="G463" s="18"/>
      <c r="H463" s="19"/>
      <c r="I463" s="18"/>
      <c r="J463" s="18"/>
      <c r="K463" s="18"/>
      <c r="L463" s="18"/>
      <c r="M463" s="18"/>
      <c r="N463" s="18"/>
      <c r="O463" s="18"/>
      <c r="S463" s="18"/>
      <c r="T463" s="20"/>
    </row>
    <row r="464" spans="7:20" x14ac:dyDescent="0.2">
      <c r="G464" s="18"/>
      <c r="H464" s="19"/>
      <c r="I464" s="18"/>
      <c r="J464" s="18"/>
      <c r="K464" s="18"/>
      <c r="L464" s="18"/>
      <c r="M464" s="18"/>
      <c r="N464" s="18"/>
      <c r="O464" s="18"/>
      <c r="S464" s="18"/>
      <c r="T464" s="20"/>
    </row>
    <row r="465" spans="7:20" x14ac:dyDescent="0.2">
      <c r="G465" s="18"/>
      <c r="H465" s="19"/>
      <c r="I465" s="18"/>
      <c r="J465" s="18"/>
      <c r="K465" s="18"/>
      <c r="L465" s="18"/>
      <c r="M465" s="18"/>
      <c r="N465" s="18"/>
      <c r="O465" s="18"/>
      <c r="S465" s="18"/>
      <c r="T465" s="20"/>
    </row>
    <row r="466" spans="7:20" x14ac:dyDescent="0.2">
      <c r="G466" s="18"/>
      <c r="H466" s="19"/>
      <c r="I466" s="18"/>
      <c r="J466" s="18"/>
      <c r="K466" s="18"/>
      <c r="L466" s="18"/>
      <c r="M466" s="18"/>
      <c r="N466" s="18"/>
      <c r="O466" s="18"/>
      <c r="S466" s="18"/>
      <c r="T466" s="20"/>
    </row>
    <row r="467" spans="7:20" x14ac:dyDescent="0.2">
      <c r="G467" s="18"/>
      <c r="H467" s="19"/>
      <c r="I467" s="18"/>
      <c r="J467" s="18"/>
      <c r="K467" s="18"/>
      <c r="L467" s="18"/>
      <c r="M467" s="18"/>
      <c r="N467" s="18"/>
      <c r="O467" s="18"/>
      <c r="S467" s="18"/>
      <c r="T467" s="20"/>
    </row>
    <row r="468" spans="7:20" x14ac:dyDescent="0.2">
      <c r="G468" s="18"/>
      <c r="H468" s="19"/>
      <c r="I468" s="18"/>
      <c r="J468" s="18"/>
      <c r="K468" s="18"/>
      <c r="L468" s="18"/>
      <c r="M468" s="18"/>
      <c r="N468" s="18"/>
      <c r="O468" s="18"/>
      <c r="S468" s="18"/>
      <c r="T468" s="20"/>
    </row>
    <row r="469" spans="7:20" x14ac:dyDescent="0.2">
      <c r="G469" s="18"/>
      <c r="H469" s="19"/>
      <c r="I469" s="18"/>
      <c r="J469" s="18"/>
      <c r="K469" s="18"/>
      <c r="L469" s="18"/>
      <c r="M469" s="18"/>
      <c r="N469" s="18"/>
      <c r="O469" s="18"/>
      <c r="S469" s="18"/>
      <c r="T469" s="20"/>
    </row>
    <row r="470" spans="7:20" x14ac:dyDescent="0.2">
      <c r="G470" s="18"/>
      <c r="H470" s="19"/>
      <c r="I470" s="18"/>
      <c r="J470" s="18"/>
      <c r="K470" s="18"/>
      <c r="L470" s="18"/>
      <c r="M470" s="18"/>
      <c r="N470" s="18"/>
      <c r="O470" s="18"/>
      <c r="S470" s="18"/>
      <c r="T470" s="20"/>
    </row>
    <row r="471" spans="7:20" x14ac:dyDescent="0.2">
      <c r="G471" s="18"/>
      <c r="H471" s="19"/>
      <c r="I471" s="18"/>
      <c r="J471" s="18"/>
      <c r="K471" s="18"/>
      <c r="L471" s="18"/>
      <c r="M471" s="18"/>
      <c r="N471" s="18"/>
      <c r="O471" s="18"/>
      <c r="S471" s="18"/>
      <c r="T471" s="20"/>
    </row>
    <row r="472" spans="7:20" x14ac:dyDescent="0.2">
      <c r="G472" s="18"/>
      <c r="H472" s="19"/>
      <c r="I472" s="18"/>
      <c r="J472" s="18"/>
      <c r="K472" s="18"/>
      <c r="L472" s="18"/>
      <c r="M472" s="18"/>
      <c r="N472" s="18"/>
      <c r="O472" s="18"/>
      <c r="S472" s="18"/>
      <c r="T472" s="20"/>
    </row>
    <row r="473" spans="7:20" x14ac:dyDescent="0.2">
      <c r="G473" s="18"/>
      <c r="H473" s="19"/>
      <c r="I473" s="18"/>
      <c r="J473" s="18"/>
      <c r="K473" s="18"/>
      <c r="L473" s="18"/>
      <c r="M473" s="18"/>
      <c r="N473" s="18"/>
      <c r="O473" s="18"/>
      <c r="S473" s="18"/>
      <c r="T473" s="20"/>
    </row>
    <row r="474" spans="7:20" x14ac:dyDescent="0.2">
      <c r="G474" s="18"/>
      <c r="H474" s="19"/>
      <c r="I474" s="18"/>
      <c r="J474" s="18"/>
      <c r="K474" s="18"/>
      <c r="L474" s="18"/>
      <c r="M474" s="18"/>
      <c r="N474" s="18"/>
      <c r="O474" s="18"/>
      <c r="S474" s="18"/>
      <c r="T474" s="20"/>
    </row>
    <row r="475" spans="7:20" x14ac:dyDescent="0.2">
      <c r="G475" s="18"/>
      <c r="H475" s="19"/>
      <c r="I475" s="18"/>
      <c r="J475" s="18"/>
      <c r="K475" s="18"/>
      <c r="L475" s="18"/>
      <c r="M475" s="18"/>
      <c r="N475" s="18"/>
      <c r="O475" s="18"/>
      <c r="S475" s="18"/>
      <c r="T475" s="20"/>
    </row>
    <row r="476" spans="7:20" x14ac:dyDescent="0.2">
      <c r="G476" s="18"/>
      <c r="H476" s="19"/>
      <c r="I476" s="18"/>
      <c r="J476" s="18"/>
      <c r="K476" s="18"/>
      <c r="L476" s="18"/>
      <c r="M476" s="18"/>
      <c r="N476" s="18"/>
      <c r="O476" s="18"/>
      <c r="S476" s="18"/>
      <c r="T476" s="20"/>
    </row>
    <row r="477" spans="7:20" x14ac:dyDescent="0.2">
      <c r="G477" s="18"/>
      <c r="H477" s="19"/>
      <c r="I477" s="18"/>
      <c r="J477" s="18"/>
      <c r="K477" s="18"/>
      <c r="L477" s="18"/>
      <c r="M477" s="18"/>
      <c r="N477" s="18"/>
      <c r="O477" s="18"/>
      <c r="S477" s="18"/>
      <c r="T477" s="20"/>
    </row>
    <row r="478" spans="7:20" x14ac:dyDescent="0.2">
      <c r="G478" s="18"/>
      <c r="H478" s="19"/>
      <c r="I478" s="18"/>
      <c r="J478" s="18"/>
      <c r="K478" s="18"/>
      <c r="L478" s="18"/>
      <c r="M478" s="18"/>
      <c r="N478" s="18"/>
      <c r="O478" s="18"/>
      <c r="S478" s="18"/>
      <c r="T478" s="20"/>
    </row>
    <row r="479" spans="7:20" x14ac:dyDescent="0.2">
      <c r="G479" s="18"/>
      <c r="H479" s="19"/>
      <c r="I479" s="18"/>
      <c r="J479" s="18"/>
      <c r="K479" s="18"/>
      <c r="L479" s="18"/>
      <c r="M479" s="18"/>
      <c r="N479" s="18"/>
      <c r="O479" s="18"/>
      <c r="S479" s="18"/>
      <c r="T479" s="20"/>
    </row>
    <row r="480" spans="7:20" x14ac:dyDescent="0.2">
      <c r="G480" s="18"/>
      <c r="H480" s="19"/>
      <c r="I480" s="18"/>
      <c r="J480" s="18"/>
      <c r="K480" s="18"/>
      <c r="L480" s="18"/>
      <c r="M480" s="18"/>
      <c r="N480" s="18"/>
      <c r="O480" s="18"/>
      <c r="S480" s="18"/>
      <c r="T480" s="20"/>
    </row>
    <row r="481" spans="7:20" x14ac:dyDescent="0.2">
      <c r="G481" s="18"/>
      <c r="H481" s="19"/>
      <c r="I481" s="18"/>
      <c r="J481" s="18"/>
      <c r="K481" s="18"/>
      <c r="L481" s="18"/>
      <c r="M481" s="18"/>
      <c r="N481" s="18"/>
      <c r="O481" s="18"/>
      <c r="S481" s="18"/>
      <c r="T481" s="20"/>
    </row>
    <row r="482" spans="7:20" x14ac:dyDescent="0.2">
      <c r="G482" s="18"/>
      <c r="H482" s="19"/>
      <c r="I482" s="18"/>
      <c r="J482" s="18"/>
      <c r="K482" s="18"/>
      <c r="L482" s="18"/>
      <c r="M482" s="18"/>
      <c r="N482" s="18"/>
      <c r="O482" s="18"/>
      <c r="S482" s="18"/>
      <c r="T482" s="20"/>
    </row>
    <row r="483" spans="7:20" x14ac:dyDescent="0.2">
      <c r="G483" s="18"/>
      <c r="H483" s="19"/>
      <c r="I483" s="18"/>
      <c r="J483" s="18"/>
      <c r="K483" s="18"/>
      <c r="L483" s="18"/>
      <c r="M483" s="18"/>
      <c r="N483" s="18"/>
      <c r="O483" s="18"/>
      <c r="S483" s="18"/>
      <c r="T483" s="20"/>
    </row>
    <row r="484" spans="7:20" x14ac:dyDescent="0.2">
      <c r="G484" s="18"/>
      <c r="H484" s="19"/>
      <c r="I484" s="18"/>
      <c r="J484" s="18"/>
      <c r="K484" s="18"/>
      <c r="L484" s="18"/>
      <c r="M484" s="18"/>
      <c r="N484" s="18"/>
      <c r="O484" s="18"/>
      <c r="S484" s="18"/>
      <c r="T484" s="20"/>
    </row>
    <row r="485" spans="7:20" x14ac:dyDescent="0.2">
      <c r="G485" s="18"/>
      <c r="H485" s="19"/>
      <c r="I485" s="18"/>
      <c r="J485" s="18"/>
      <c r="K485" s="18"/>
      <c r="L485" s="18"/>
      <c r="M485" s="18"/>
      <c r="N485" s="18"/>
      <c r="O485" s="18"/>
      <c r="S485" s="18"/>
      <c r="T485" s="20"/>
    </row>
    <row r="486" spans="7:20" x14ac:dyDescent="0.2">
      <c r="G486" s="18"/>
      <c r="H486" s="19"/>
      <c r="I486" s="18"/>
      <c r="J486" s="18"/>
      <c r="K486" s="18"/>
      <c r="L486" s="18"/>
      <c r="M486" s="18"/>
      <c r="N486" s="18"/>
      <c r="O486" s="18"/>
      <c r="S486" s="18"/>
      <c r="T486" s="20"/>
    </row>
    <row r="487" spans="7:20" x14ac:dyDescent="0.2">
      <c r="G487" s="18"/>
      <c r="H487" s="19"/>
      <c r="I487" s="18"/>
      <c r="J487" s="18"/>
      <c r="K487" s="18"/>
      <c r="L487" s="18"/>
      <c r="M487" s="18"/>
      <c r="N487" s="18"/>
      <c r="O487" s="18"/>
      <c r="S487" s="18"/>
      <c r="T487" s="20"/>
    </row>
    <row r="488" spans="7:20" x14ac:dyDescent="0.2">
      <c r="G488" s="18"/>
      <c r="H488" s="19"/>
      <c r="I488" s="18"/>
      <c r="J488" s="18"/>
      <c r="K488" s="18"/>
      <c r="L488" s="18"/>
      <c r="M488" s="18"/>
      <c r="N488" s="18"/>
      <c r="O488" s="18"/>
      <c r="S488" s="18"/>
      <c r="T488" s="20"/>
    </row>
    <row r="489" spans="7:20" x14ac:dyDescent="0.2">
      <c r="G489" s="18"/>
      <c r="H489" s="19"/>
      <c r="I489" s="18"/>
      <c r="J489" s="18"/>
      <c r="K489" s="18"/>
      <c r="L489" s="18"/>
      <c r="M489" s="18"/>
      <c r="N489" s="18"/>
      <c r="O489" s="18"/>
      <c r="S489" s="18"/>
      <c r="T489" s="20"/>
    </row>
    <row r="490" spans="7:20" x14ac:dyDescent="0.2">
      <c r="G490" s="18"/>
      <c r="H490" s="19"/>
      <c r="I490" s="18"/>
      <c r="J490" s="18"/>
      <c r="K490" s="18"/>
      <c r="L490" s="18"/>
      <c r="M490" s="18"/>
      <c r="N490" s="18"/>
      <c r="O490" s="18"/>
      <c r="S490" s="18"/>
      <c r="T490" s="20"/>
    </row>
    <row r="491" spans="7:20" x14ac:dyDescent="0.2">
      <c r="G491" s="18"/>
      <c r="H491" s="19"/>
      <c r="I491" s="18"/>
      <c r="J491" s="18"/>
      <c r="K491" s="18"/>
      <c r="L491" s="18"/>
      <c r="M491" s="18"/>
      <c r="N491" s="18"/>
      <c r="O491" s="18"/>
      <c r="S491" s="18"/>
      <c r="T491" s="20"/>
    </row>
    <row r="492" spans="7:20" x14ac:dyDescent="0.2">
      <c r="G492" s="18"/>
      <c r="H492" s="19"/>
      <c r="I492" s="18"/>
      <c r="J492" s="18"/>
      <c r="K492" s="18"/>
      <c r="L492" s="18"/>
      <c r="M492" s="18"/>
      <c r="N492" s="18"/>
      <c r="O492" s="18"/>
      <c r="S492" s="18"/>
      <c r="T492" s="20"/>
    </row>
    <row r="493" spans="7:20" x14ac:dyDescent="0.2">
      <c r="G493" s="18"/>
      <c r="H493" s="19"/>
      <c r="I493" s="18"/>
      <c r="J493" s="18"/>
      <c r="K493" s="18"/>
      <c r="L493" s="18"/>
      <c r="M493" s="18"/>
      <c r="N493" s="18"/>
      <c r="O493" s="18"/>
      <c r="S493" s="18"/>
      <c r="T493" s="20"/>
    </row>
    <row r="494" spans="7:20" x14ac:dyDescent="0.2">
      <c r="G494" s="18"/>
      <c r="H494" s="19"/>
      <c r="I494" s="18"/>
      <c r="J494" s="18"/>
      <c r="K494" s="18"/>
      <c r="L494" s="18"/>
      <c r="M494" s="18"/>
      <c r="N494" s="18"/>
      <c r="O494" s="18"/>
      <c r="S494" s="18"/>
      <c r="T494" s="20"/>
    </row>
    <row r="495" spans="7:20" x14ac:dyDescent="0.2">
      <c r="G495" s="18"/>
      <c r="H495" s="19"/>
      <c r="I495" s="18"/>
      <c r="J495" s="18"/>
      <c r="K495" s="18"/>
      <c r="L495" s="18"/>
      <c r="M495" s="18"/>
      <c r="N495" s="18"/>
      <c r="O495" s="18"/>
      <c r="S495" s="18"/>
      <c r="T495" s="20"/>
    </row>
    <row r="496" spans="7:20" x14ac:dyDescent="0.2">
      <c r="G496" s="18"/>
      <c r="H496" s="19"/>
      <c r="I496" s="18"/>
      <c r="J496" s="18"/>
      <c r="K496" s="18"/>
      <c r="L496" s="18"/>
      <c r="M496" s="18"/>
      <c r="N496" s="18"/>
      <c r="O496" s="18"/>
      <c r="S496" s="18"/>
      <c r="T496" s="20"/>
    </row>
    <row r="497" spans="7:20" x14ac:dyDescent="0.2">
      <c r="G497" s="18"/>
      <c r="H497" s="19"/>
      <c r="I497" s="18"/>
      <c r="J497" s="18"/>
      <c r="K497" s="18"/>
      <c r="L497" s="18"/>
      <c r="M497" s="18"/>
      <c r="N497" s="18"/>
      <c r="O497" s="18"/>
      <c r="S497" s="18"/>
      <c r="T497" s="20"/>
    </row>
    <row r="498" spans="7:20" x14ac:dyDescent="0.2">
      <c r="G498" s="18"/>
      <c r="H498" s="19"/>
      <c r="I498" s="18"/>
      <c r="J498" s="18"/>
      <c r="K498" s="18"/>
      <c r="L498" s="18"/>
      <c r="M498" s="18"/>
      <c r="N498" s="18"/>
      <c r="O498" s="18"/>
      <c r="S498" s="18"/>
      <c r="T498" s="20"/>
    </row>
    <row r="499" spans="7:20" x14ac:dyDescent="0.2">
      <c r="G499" s="18"/>
      <c r="H499" s="19"/>
      <c r="I499" s="18"/>
      <c r="J499" s="18"/>
      <c r="K499" s="18"/>
      <c r="L499" s="18"/>
      <c r="M499" s="18"/>
      <c r="N499" s="18"/>
      <c r="O499" s="18"/>
      <c r="S499" s="18"/>
      <c r="T499" s="20"/>
    </row>
    <row r="500" spans="7:20" x14ac:dyDescent="0.2">
      <c r="G500" s="18"/>
      <c r="H500" s="19"/>
      <c r="I500" s="18"/>
      <c r="J500" s="18"/>
      <c r="K500" s="18"/>
      <c r="L500" s="18"/>
      <c r="M500" s="18"/>
      <c r="N500" s="18"/>
      <c r="O500" s="18"/>
      <c r="S500" s="18"/>
      <c r="T500" s="20"/>
    </row>
    <row r="501" spans="7:20" x14ac:dyDescent="0.2">
      <c r="G501" s="18"/>
      <c r="H501" s="19"/>
      <c r="I501" s="18"/>
      <c r="J501" s="18"/>
      <c r="K501" s="18"/>
      <c r="L501" s="18"/>
      <c r="M501" s="18"/>
      <c r="N501" s="18"/>
      <c r="O501" s="18"/>
      <c r="S501" s="18"/>
      <c r="T501" s="20"/>
    </row>
    <row r="502" spans="7:20" x14ac:dyDescent="0.2">
      <c r="G502" s="18"/>
      <c r="H502" s="19"/>
      <c r="I502" s="18"/>
      <c r="J502" s="18"/>
      <c r="K502" s="18"/>
      <c r="L502" s="18"/>
      <c r="M502" s="18"/>
      <c r="N502" s="18"/>
      <c r="O502" s="18"/>
      <c r="S502" s="18"/>
      <c r="T502" s="20"/>
    </row>
    <row r="503" spans="7:20" x14ac:dyDescent="0.2">
      <c r="G503" s="18"/>
      <c r="H503" s="19"/>
      <c r="I503" s="18"/>
      <c r="J503" s="18"/>
      <c r="K503" s="18"/>
      <c r="L503" s="18"/>
      <c r="M503" s="18"/>
      <c r="N503" s="18"/>
      <c r="O503" s="18"/>
      <c r="S503" s="18"/>
      <c r="T503" s="20"/>
    </row>
    <row r="504" spans="7:20" x14ac:dyDescent="0.2">
      <c r="G504" s="18"/>
      <c r="H504" s="19"/>
      <c r="I504" s="18"/>
      <c r="J504" s="18"/>
      <c r="K504" s="18"/>
      <c r="L504" s="18"/>
      <c r="M504" s="18"/>
      <c r="N504" s="18"/>
      <c r="O504" s="18"/>
      <c r="S504" s="18"/>
      <c r="T504" s="20"/>
    </row>
    <row r="505" spans="7:20" x14ac:dyDescent="0.2">
      <c r="G505" s="18"/>
      <c r="H505" s="19"/>
      <c r="I505" s="18"/>
      <c r="J505" s="18"/>
      <c r="K505" s="18"/>
      <c r="L505" s="18"/>
      <c r="M505" s="18"/>
      <c r="N505" s="18"/>
      <c r="O505" s="18"/>
      <c r="S505" s="18"/>
      <c r="T505" s="20"/>
    </row>
    <row r="506" spans="7:20" x14ac:dyDescent="0.2">
      <c r="G506" s="18"/>
      <c r="H506" s="19"/>
      <c r="I506" s="18"/>
      <c r="J506" s="18"/>
      <c r="K506" s="18"/>
      <c r="L506" s="18"/>
      <c r="M506" s="18"/>
      <c r="N506" s="18"/>
      <c r="O506" s="18"/>
      <c r="S506" s="18"/>
      <c r="T506" s="20"/>
    </row>
    <row r="507" spans="7:20" x14ac:dyDescent="0.2">
      <c r="G507" s="18"/>
      <c r="H507" s="19"/>
      <c r="I507" s="18"/>
      <c r="J507" s="18"/>
      <c r="K507" s="18"/>
      <c r="L507" s="18"/>
      <c r="M507" s="18"/>
      <c r="N507" s="18"/>
      <c r="O507" s="18"/>
      <c r="S507" s="18"/>
      <c r="T507" s="20"/>
    </row>
    <row r="508" spans="7:20" x14ac:dyDescent="0.2">
      <c r="G508" s="18"/>
      <c r="H508" s="19"/>
      <c r="I508" s="18"/>
      <c r="J508" s="18"/>
      <c r="K508" s="18"/>
      <c r="L508" s="18"/>
      <c r="M508" s="18"/>
      <c r="N508" s="18"/>
      <c r="O508" s="18"/>
      <c r="S508" s="18"/>
      <c r="T508" s="20"/>
    </row>
    <row r="509" spans="7:20" x14ac:dyDescent="0.2">
      <c r="G509" s="18"/>
      <c r="H509" s="19"/>
      <c r="I509" s="18"/>
      <c r="J509" s="18"/>
      <c r="K509" s="18"/>
      <c r="L509" s="18"/>
      <c r="M509" s="18"/>
      <c r="N509" s="18"/>
      <c r="O509" s="18"/>
      <c r="S509" s="18"/>
      <c r="T509" s="20"/>
    </row>
    <row r="510" spans="7:20" x14ac:dyDescent="0.2">
      <c r="G510" s="18"/>
      <c r="H510" s="19"/>
      <c r="I510" s="18"/>
      <c r="J510" s="18"/>
      <c r="K510" s="18"/>
      <c r="L510" s="18"/>
      <c r="M510" s="18"/>
      <c r="N510" s="18"/>
      <c r="O510" s="18"/>
      <c r="S510" s="18"/>
      <c r="T510" s="20"/>
    </row>
    <row r="511" spans="7:20" x14ac:dyDescent="0.2">
      <c r="G511" s="18"/>
      <c r="H511" s="19"/>
      <c r="I511" s="18"/>
      <c r="J511" s="18"/>
      <c r="K511" s="18"/>
      <c r="L511" s="18"/>
      <c r="M511" s="18"/>
      <c r="N511" s="18"/>
      <c r="O511" s="18"/>
      <c r="S511" s="18"/>
      <c r="T511" s="20"/>
    </row>
    <row r="512" spans="7:20" x14ac:dyDescent="0.2">
      <c r="G512" s="18"/>
      <c r="H512" s="19"/>
      <c r="I512" s="18"/>
      <c r="J512" s="18"/>
      <c r="K512" s="18"/>
      <c r="L512" s="18"/>
      <c r="M512" s="18"/>
      <c r="N512" s="18"/>
      <c r="O512" s="18"/>
      <c r="S512" s="18"/>
      <c r="T512" s="20"/>
    </row>
    <row r="513" spans="7:20" x14ac:dyDescent="0.2">
      <c r="G513" s="18"/>
      <c r="H513" s="19"/>
      <c r="I513" s="18"/>
      <c r="J513" s="18"/>
      <c r="K513" s="18"/>
      <c r="L513" s="18"/>
      <c r="M513" s="18"/>
      <c r="N513" s="18"/>
      <c r="O513" s="18"/>
      <c r="S513" s="18"/>
      <c r="T513" s="20"/>
    </row>
    <row r="514" spans="7:20" x14ac:dyDescent="0.2">
      <c r="G514" s="18"/>
      <c r="H514" s="19"/>
      <c r="I514" s="18"/>
      <c r="J514" s="18"/>
      <c r="K514" s="18"/>
      <c r="L514" s="18"/>
      <c r="M514" s="18"/>
      <c r="N514" s="18"/>
      <c r="O514" s="18"/>
      <c r="S514" s="18"/>
      <c r="T514" s="20"/>
    </row>
    <row r="515" spans="7:20" x14ac:dyDescent="0.2">
      <c r="G515" s="18"/>
      <c r="H515" s="19"/>
      <c r="I515" s="18"/>
      <c r="J515" s="18"/>
      <c r="K515" s="18"/>
      <c r="L515" s="18"/>
      <c r="M515" s="18"/>
      <c r="N515" s="18"/>
      <c r="O515" s="18"/>
      <c r="S515" s="18"/>
      <c r="T515" s="20"/>
    </row>
    <row r="516" spans="7:20" x14ac:dyDescent="0.2">
      <c r="G516" s="18"/>
      <c r="H516" s="19"/>
      <c r="I516" s="18"/>
      <c r="J516" s="18"/>
      <c r="K516" s="18"/>
      <c r="L516" s="18"/>
      <c r="M516" s="18"/>
      <c r="N516" s="18"/>
      <c r="O516" s="18"/>
      <c r="S516" s="18"/>
      <c r="T516" s="20"/>
    </row>
    <row r="517" spans="7:20" x14ac:dyDescent="0.2">
      <c r="G517" s="18"/>
      <c r="H517" s="19"/>
      <c r="I517" s="18"/>
      <c r="J517" s="18"/>
      <c r="K517" s="18"/>
      <c r="L517" s="18"/>
      <c r="M517" s="18"/>
      <c r="N517" s="18"/>
      <c r="O517" s="18"/>
      <c r="S517" s="18"/>
      <c r="T517" s="20"/>
    </row>
    <row r="518" spans="7:20" x14ac:dyDescent="0.2">
      <c r="G518" s="18"/>
      <c r="H518" s="19"/>
      <c r="I518" s="18"/>
      <c r="J518" s="18"/>
      <c r="K518" s="18"/>
      <c r="L518" s="18"/>
      <c r="M518" s="18"/>
      <c r="N518" s="18"/>
      <c r="O518" s="18"/>
      <c r="S518" s="18"/>
      <c r="T518" s="20"/>
    </row>
    <row r="519" spans="7:20" x14ac:dyDescent="0.2">
      <c r="G519" s="18"/>
      <c r="H519" s="19"/>
      <c r="I519" s="18"/>
      <c r="J519" s="18"/>
      <c r="K519" s="18"/>
      <c r="L519" s="18"/>
      <c r="M519" s="18"/>
      <c r="N519" s="18"/>
      <c r="O519" s="18"/>
      <c r="S519" s="18"/>
      <c r="T519" s="20"/>
    </row>
    <row r="520" spans="7:20" x14ac:dyDescent="0.2">
      <c r="G520" s="18"/>
      <c r="H520" s="19"/>
      <c r="I520" s="18"/>
      <c r="J520" s="18"/>
      <c r="K520" s="18"/>
      <c r="L520" s="18"/>
      <c r="M520" s="18"/>
      <c r="N520" s="18"/>
      <c r="O520" s="18"/>
      <c r="S520" s="18"/>
      <c r="T520" s="20"/>
    </row>
    <row r="521" spans="7:20" x14ac:dyDescent="0.2">
      <c r="G521" s="18"/>
      <c r="H521" s="19"/>
      <c r="I521" s="18"/>
      <c r="J521" s="18"/>
      <c r="K521" s="18"/>
      <c r="L521" s="18"/>
      <c r="M521" s="18"/>
      <c r="N521" s="18"/>
      <c r="O521" s="18"/>
      <c r="S521" s="18"/>
      <c r="T521" s="20"/>
    </row>
    <row r="522" spans="7:20" x14ac:dyDescent="0.2">
      <c r="G522" s="18"/>
      <c r="H522" s="19"/>
      <c r="I522" s="18"/>
      <c r="J522" s="18"/>
      <c r="K522" s="18"/>
      <c r="L522" s="18"/>
      <c r="M522" s="18"/>
      <c r="N522" s="18"/>
      <c r="O522" s="18"/>
      <c r="S522" s="18"/>
      <c r="T522" s="20"/>
    </row>
    <row r="523" spans="7:20" x14ac:dyDescent="0.2">
      <c r="G523" s="18"/>
      <c r="H523" s="19"/>
      <c r="I523" s="18"/>
      <c r="J523" s="18"/>
      <c r="K523" s="18"/>
      <c r="L523" s="18"/>
      <c r="M523" s="18"/>
      <c r="N523" s="18"/>
      <c r="O523" s="18"/>
      <c r="S523" s="18"/>
      <c r="T523" s="20"/>
    </row>
    <row r="524" spans="7:20" x14ac:dyDescent="0.2">
      <c r="G524" s="18"/>
      <c r="H524" s="19"/>
      <c r="I524" s="18"/>
      <c r="J524" s="18"/>
      <c r="K524" s="18"/>
      <c r="L524" s="18"/>
      <c r="M524" s="18"/>
      <c r="N524" s="18"/>
      <c r="O524" s="18"/>
      <c r="S524" s="18"/>
      <c r="T524" s="20"/>
    </row>
    <row r="525" spans="7:20" x14ac:dyDescent="0.2">
      <c r="G525" s="18"/>
      <c r="H525" s="19"/>
      <c r="I525" s="18"/>
      <c r="J525" s="18"/>
      <c r="K525" s="18"/>
      <c r="L525" s="18"/>
      <c r="M525" s="18"/>
      <c r="N525" s="18"/>
      <c r="O525" s="18"/>
      <c r="S525" s="18"/>
      <c r="T525" s="20"/>
    </row>
    <row r="526" spans="7:20" x14ac:dyDescent="0.2">
      <c r="G526" s="18"/>
      <c r="H526" s="19"/>
      <c r="I526" s="18"/>
      <c r="J526" s="18"/>
      <c r="K526" s="18"/>
      <c r="L526" s="18"/>
      <c r="M526" s="18"/>
      <c r="N526" s="18"/>
      <c r="O526" s="18"/>
      <c r="S526" s="18"/>
      <c r="T526" s="20"/>
    </row>
    <row r="527" spans="7:20" x14ac:dyDescent="0.2">
      <c r="G527" s="18"/>
      <c r="H527" s="19"/>
      <c r="I527" s="18"/>
      <c r="J527" s="18"/>
      <c r="K527" s="18"/>
      <c r="L527" s="18"/>
      <c r="M527" s="18"/>
      <c r="N527" s="18"/>
      <c r="O527" s="18"/>
      <c r="S527" s="18"/>
      <c r="T527" s="20"/>
    </row>
    <row r="528" spans="7:20" x14ac:dyDescent="0.2">
      <c r="G528" s="18"/>
      <c r="H528" s="19"/>
      <c r="I528" s="18"/>
      <c r="J528" s="18"/>
      <c r="K528" s="18"/>
      <c r="L528" s="18"/>
      <c r="M528" s="18"/>
      <c r="N528" s="18"/>
      <c r="O528" s="18"/>
      <c r="S528" s="18"/>
      <c r="T528" s="20"/>
    </row>
    <row r="529" spans="7:20" x14ac:dyDescent="0.2">
      <c r="G529" s="18"/>
      <c r="H529" s="19"/>
      <c r="I529" s="18"/>
      <c r="J529" s="18"/>
      <c r="K529" s="18"/>
      <c r="L529" s="18"/>
      <c r="M529" s="18"/>
      <c r="N529" s="18"/>
      <c r="O529" s="18"/>
      <c r="S529" s="18"/>
      <c r="T529" s="20"/>
    </row>
    <row r="530" spans="7:20" x14ac:dyDescent="0.2">
      <c r="G530" s="18"/>
      <c r="H530" s="19"/>
      <c r="I530" s="18"/>
      <c r="J530" s="18"/>
      <c r="K530" s="18"/>
      <c r="L530" s="18"/>
      <c r="M530" s="18"/>
      <c r="N530" s="18"/>
      <c r="O530" s="18"/>
      <c r="S530" s="18"/>
      <c r="T530" s="20"/>
    </row>
    <row r="531" spans="7:20" x14ac:dyDescent="0.2">
      <c r="G531" s="18"/>
      <c r="H531" s="19"/>
      <c r="I531" s="18"/>
      <c r="J531" s="18"/>
      <c r="K531" s="18"/>
      <c r="L531" s="18"/>
      <c r="M531" s="18"/>
      <c r="N531" s="18"/>
      <c r="O531" s="18"/>
      <c r="S531" s="18"/>
      <c r="T531" s="20"/>
    </row>
    <row r="532" spans="7:20" x14ac:dyDescent="0.2">
      <c r="G532" s="18"/>
      <c r="H532" s="19"/>
      <c r="I532" s="18"/>
      <c r="J532" s="18"/>
      <c r="K532" s="18"/>
      <c r="L532" s="18"/>
      <c r="M532" s="18"/>
      <c r="N532" s="18"/>
      <c r="O532" s="18"/>
      <c r="S532" s="18"/>
      <c r="T532" s="20"/>
    </row>
    <row r="533" spans="7:20" x14ac:dyDescent="0.2">
      <c r="G533" s="18"/>
      <c r="H533" s="19"/>
      <c r="I533" s="18"/>
      <c r="J533" s="18"/>
      <c r="K533" s="18"/>
      <c r="L533" s="18"/>
      <c r="M533" s="18"/>
      <c r="N533" s="18"/>
      <c r="O533" s="18"/>
      <c r="S533" s="18"/>
      <c r="T533" s="20"/>
    </row>
    <row r="534" spans="7:20" x14ac:dyDescent="0.2">
      <c r="G534" s="18"/>
      <c r="H534" s="19"/>
      <c r="I534" s="18"/>
      <c r="J534" s="18"/>
      <c r="K534" s="18"/>
      <c r="L534" s="18"/>
      <c r="M534" s="18"/>
      <c r="N534" s="18"/>
      <c r="O534" s="18"/>
      <c r="S534" s="18"/>
      <c r="T534" s="20"/>
    </row>
    <row r="535" spans="7:20" x14ac:dyDescent="0.2">
      <c r="G535" s="18"/>
      <c r="H535" s="19"/>
      <c r="I535" s="18"/>
      <c r="J535" s="18"/>
      <c r="K535" s="18"/>
      <c r="L535" s="18"/>
      <c r="M535" s="18"/>
      <c r="N535" s="18"/>
      <c r="O535" s="18"/>
      <c r="S535" s="18"/>
      <c r="T535" s="20"/>
    </row>
    <row r="536" spans="7:20" x14ac:dyDescent="0.2">
      <c r="G536" s="18"/>
      <c r="H536" s="19"/>
      <c r="I536" s="18"/>
      <c r="J536" s="18"/>
      <c r="K536" s="18"/>
      <c r="L536" s="18"/>
      <c r="M536" s="18"/>
      <c r="N536" s="18"/>
      <c r="O536" s="18"/>
      <c r="S536" s="18"/>
      <c r="T536" s="20"/>
    </row>
    <row r="537" spans="7:20" x14ac:dyDescent="0.2">
      <c r="G537" s="18"/>
      <c r="H537" s="19"/>
      <c r="I537" s="18"/>
      <c r="J537" s="18"/>
      <c r="K537" s="18"/>
      <c r="L537" s="18"/>
      <c r="M537" s="18"/>
      <c r="N537" s="18"/>
      <c r="O537" s="18"/>
      <c r="S537" s="18"/>
      <c r="T537" s="20"/>
    </row>
    <row r="538" spans="7:20" x14ac:dyDescent="0.2">
      <c r="G538" s="18"/>
      <c r="H538" s="19"/>
      <c r="I538" s="18"/>
      <c r="J538" s="18"/>
      <c r="K538" s="18"/>
      <c r="L538" s="18"/>
      <c r="M538" s="18"/>
      <c r="N538" s="18"/>
      <c r="O538" s="18"/>
      <c r="S538" s="18"/>
      <c r="T538" s="20"/>
    </row>
    <row r="539" spans="7:20" x14ac:dyDescent="0.2">
      <c r="G539" s="18"/>
      <c r="H539" s="19"/>
      <c r="I539" s="18"/>
      <c r="J539" s="18"/>
      <c r="K539" s="18"/>
      <c r="L539" s="18"/>
      <c r="M539" s="18"/>
      <c r="N539" s="18"/>
      <c r="O539" s="18"/>
      <c r="S539" s="18"/>
      <c r="T539" s="20"/>
    </row>
    <row r="540" spans="7:20" x14ac:dyDescent="0.2">
      <c r="G540" s="18"/>
      <c r="H540" s="19"/>
      <c r="I540" s="18"/>
      <c r="J540" s="18"/>
      <c r="K540" s="18"/>
      <c r="L540" s="18"/>
      <c r="M540" s="18"/>
      <c r="N540" s="18"/>
      <c r="O540" s="18"/>
      <c r="S540" s="18"/>
      <c r="T540" s="20"/>
    </row>
    <row r="541" spans="7:20" x14ac:dyDescent="0.2">
      <c r="G541" s="18"/>
      <c r="H541" s="19"/>
      <c r="I541" s="18"/>
      <c r="J541" s="18"/>
      <c r="K541" s="18"/>
      <c r="L541" s="18"/>
      <c r="M541" s="18"/>
      <c r="N541" s="18"/>
      <c r="O541" s="18"/>
      <c r="S541" s="18"/>
      <c r="T541" s="20"/>
    </row>
    <row r="542" spans="7:20" x14ac:dyDescent="0.2">
      <c r="G542" s="18"/>
      <c r="H542" s="19"/>
      <c r="I542" s="18"/>
      <c r="J542" s="18"/>
      <c r="K542" s="18"/>
      <c r="L542" s="18"/>
      <c r="M542" s="18"/>
      <c r="N542" s="18"/>
      <c r="O542" s="18"/>
      <c r="S542" s="18"/>
      <c r="T542" s="20"/>
    </row>
    <row r="543" spans="7:20" x14ac:dyDescent="0.2">
      <c r="G543" s="18"/>
      <c r="H543" s="19"/>
      <c r="I543" s="18"/>
      <c r="J543" s="18"/>
      <c r="K543" s="18"/>
      <c r="L543" s="18"/>
      <c r="M543" s="18"/>
      <c r="N543" s="18"/>
      <c r="O543" s="18"/>
      <c r="S543" s="18"/>
      <c r="T543" s="20"/>
    </row>
    <row r="544" spans="7:20" x14ac:dyDescent="0.2">
      <c r="G544" s="18"/>
      <c r="H544" s="19"/>
      <c r="I544" s="18"/>
      <c r="J544" s="18"/>
      <c r="K544" s="18"/>
      <c r="L544" s="18"/>
      <c r="M544" s="18"/>
      <c r="N544" s="18"/>
      <c r="O544" s="18"/>
      <c r="S544" s="18"/>
      <c r="T544" s="20"/>
    </row>
    <row r="545" spans="7:20" x14ac:dyDescent="0.2">
      <c r="G545" s="18"/>
      <c r="H545" s="19"/>
      <c r="I545" s="18"/>
      <c r="J545" s="18"/>
      <c r="K545" s="18"/>
      <c r="L545" s="18"/>
      <c r="M545" s="18"/>
      <c r="N545" s="18"/>
      <c r="O545" s="18"/>
      <c r="S545" s="18"/>
      <c r="T545" s="20"/>
    </row>
    <row r="546" spans="7:20" x14ac:dyDescent="0.2">
      <c r="G546" s="18"/>
      <c r="H546" s="19"/>
      <c r="I546" s="18"/>
      <c r="J546" s="18"/>
      <c r="K546" s="18"/>
      <c r="L546" s="18"/>
      <c r="M546" s="18"/>
      <c r="N546" s="18"/>
      <c r="O546" s="18"/>
      <c r="S546" s="18"/>
      <c r="T546" s="20"/>
    </row>
    <row r="547" spans="7:20" x14ac:dyDescent="0.2">
      <c r="G547" s="18"/>
      <c r="H547" s="19"/>
      <c r="I547" s="18"/>
      <c r="J547" s="18"/>
      <c r="K547" s="18"/>
      <c r="L547" s="18"/>
      <c r="M547" s="18"/>
      <c r="N547" s="18"/>
      <c r="O547" s="18"/>
      <c r="S547" s="18"/>
      <c r="T547" s="20"/>
    </row>
    <row r="548" spans="7:20" x14ac:dyDescent="0.2">
      <c r="G548" s="18"/>
      <c r="H548" s="19"/>
      <c r="I548" s="18"/>
      <c r="J548" s="18"/>
      <c r="K548" s="18"/>
      <c r="L548" s="18"/>
      <c r="M548" s="18"/>
      <c r="N548" s="18"/>
      <c r="O548" s="18"/>
      <c r="S548" s="18"/>
      <c r="T548" s="20"/>
    </row>
    <row r="549" spans="7:20" x14ac:dyDescent="0.2">
      <c r="G549" s="18"/>
      <c r="H549" s="19"/>
      <c r="I549" s="18"/>
      <c r="J549" s="18"/>
      <c r="K549" s="18"/>
      <c r="L549" s="18"/>
      <c r="M549" s="18"/>
      <c r="N549" s="18"/>
      <c r="O549" s="18"/>
      <c r="S549" s="18"/>
      <c r="T549" s="20"/>
    </row>
    <row r="550" spans="7:20" x14ac:dyDescent="0.2">
      <c r="G550" s="18"/>
      <c r="H550" s="19"/>
      <c r="I550" s="18"/>
      <c r="J550" s="18"/>
      <c r="K550" s="18"/>
      <c r="L550" s="18"/>
      <c r="M550" s="18"/>
      <c r="N550" s="18"/>
      <c r="O550" s="18"/>
      <c r="S550" s="18"/>
      <c r="T550" s="20"/>
    </row>
    <row r="551" spans="7:20" x14ac:dyDescent="0.2">
      <c r="G551" s="18"/>
      <c r="H551" s="19"/>
      <c r="I551" s="18"/>
      <c r="J551" s="18"/>
      <c r="K551" s="18"/>
      <c r="L551" s="18"/>
      <c r="M551" s="18"/>
      <c r="N551" s="18"/>
      <c r="O551" s="18"/>
      <c r="S551" s="18"/>
      <c r="T551" s="20"/>
    </row>
    <row r="552" spans="7:20" x14ac:dyDescent="0.2">
      <c r="G552" s="18"/>
      <c r="H552" s="19"/>
      <c r="I552" s="18"/>
      <c r="J552" s="18"/>
      <c r="K552" s="18"/>
      <c r="L552" s="18"/>
      <c r="M552" s="18"/>
      <c r="N552" s="18"/>
      <c r="O552" s="18"/>
      <c r="S552" s="18"/>
      <c r="T552" s="20"/>
    </row>
    <row r="553" spans="7:20" x14ac:dyDescent="0.2">
      <c r="G553" s="18"/>
      <c r="H553" s="19"/>
      <c r="I553" s="18"/>
      <c r="J553" s="18"/>
      <c r="K553" s="18"/>
      <c r="L553" s="18"/>
      <c r="M553" s="18"/>
      <c r="N553" s="18"/>
      <c r="O553" s="18"/>
      <c r="S553" s="18"/>
      <c r="T553" s="20"/>
    </row>
    <row r="554" spans="7:20" x14ac:dyDescent="0.2">
      <c r="G554" s="18"/>
      <c r="H554" s="19"/>
      <c r="I554" s="18"/>
      <c r="J554" s="18"/>
      <c r="K554" s="18"/>
      <c r="L554" s="18"/>
      <c r="M554" s="18"/>
      <c r="N554" s="18"/>
      <c r="O554" s="18"/>
      <c r="S554" s="18"/>
      <c r="T554" s="20"/>
    </row>
    <row r="555" spans="7:20" x14ac:dyDescent="0.2">
      <c r="G555" s="18"/>
      <c r="H555" s="19"/>
      <c r="I555" s="18"/>
      <c r="J555" s="18"/>
      <c r="K555" s="18"/>
      <c r="L555" s="18"/>
      <c r="M555" s="18"/>
      <c r="N555" s="18"/>
      <c r="O555" s="18"/>
      <c r="S555" s="18"/>
      <c r="T555" s="20"/>
    </row>
    <row r="556" spans="7:20" x14ac:dyDescent="0.2">
      <c r="G556" s="18"/>
      <c r="H556" s="19"/>
      <c r="I556" s="18"/>
      <c r="J556" s="18"/>
      <c r="K556" s="18"/>
      <c r="L556" s="18"/>
      <c r="M556" s="18"/>
      <c r="N556" s="18"/>
      <c r="O556" s="18"/>
      <c r="S556" s="18"/>
      <c r="T556" s="20"/>
    </row>
    <row r="557" spans="7:20" x14ac:dyDescent="0.2">
      <c r="G557" s="18"/>
      <c r="H557" s="19"/>
      <c r="I557" s="18"/>
      <c r="J557" s="18"/>
      <c r="K557" s="18"/>
      <c r="L557" s="18"/>
      <c r="M557" s="18"/>
      <c r="N557" s="18"/>
      <c r="O557" s="18"/>
      <c r="S557" s="18"/>
      <c r="T557" s="20"/>
    </row>
    <row r="558" spans="7:20" x14ac:dyDescent="0.2">
      <c r="G558" s="18"/>
      <c r="H558" s="19"/>
      <c r="I558" s="18"/>
      <c r="J558" s="18"/>
      <c r="K558" s="18"/>
      <c r="L558" s="18"/>
      <c r="M558" s="18"/>
      <c r="N558" s="18"/>
      <c r="O558" s="18"/>
      <c r="S558" s="18"/>
      <c r="T558" s="20"/>
    </row>
    <row r="559" spans="7:20" x14ac:dyDescent="0.2">
      <c r="G559" s="18"/>
      <c r="H559" s="19"/>
      <c r="I559" s="18"/>
      <c r="J559" s="18"/>
      <c r="K559" s="18"/>
      <c r="L559" s="18"/>
      <c r="M559" s="18"/>
      <c r="N559" s="18"/>
      <c r="O559" s="18"/>
      <c r="S559" s="18"/>
      <c r="T559" s="20"/>
    </row>
    <row r="560" spans="7:20" x14ac:dyDescent="0.2">
      <c r="G560" s="18"/>
      <c r="H560" s="19"/>
      <c r="I560" s="18"/>
      <c r="J560" s="18"/>
      <c r="K560" s="18"/>
      <c r="L560" s="18"/>
      <c r="M560" s="18"/>
      <c r="N560" s="18"/>
      <c r="O560" s="18"/>
      <c r="S560" s="18"/>
      <c r="T560" s="20"/>
    </row>
    <row r="561" spans="7:20" x14ac:dyDescent="0.2">
      <c r="G561" s="18"/>
      <c r="H561" s="19"/>
      <c r="I561" s="18"/>
      <c r="J561" s="18"/>
      <c r="K561" s="18"/>
      <c r="L561" s="18"/>
      <c r="M561" s="18"/>
      <c r="N561" s="18"/>
      <c r="O561" s="18"/>
      <c r="S561" s="18"/>
      <c r="T561" s="20"/>
    </row>
    <row r="562" spans="7:20" x14ac:dyDescent="0.2">
      <c r="G562" s="18"/>
      <c r="H562" s="19"/>
      <c r="I562" s="18"/>
      <c r="J562" s="18"/>
      <c r="K562" s="18"/>
      <c r="L562" s="18"/>
      <c r="M562" s="18"/>
      <c r="N562" s="18"/>
      <c r="O562" s="18"/>
      <c r="S562" s="18"/>
      <c r="T562" s="20"/>
    </row>
    <row r="563" spans="7:20" x14ac:dyDescent="0.2">
      <c r="G563" s="18"/>
      <c r="H563" s="19"/>
      <c r="I563" s="18"/>
      <c r="J563" s="18"/>
      <c r="K563" s="18"/>
      <c r="L563" s="18"/>
      <c r="M563" s="18"/>
      <c r="N563" s="18"/>
      <c r="O563" s="18"/>
      <c r="S563" s="18"/>
      <c r="T563" s="20"/>
    </row>
    <row r="564" spans="7:20" x14ac:dyDescent="0.2">
      <c r="G564" s="18"/>
      <c r="H564" s="19"/>
      <c r="I564" s="18"/>
      <c r="J564" s="18"/>
      <c r="K564" s="18"/>
      <c r="L564" s="18"/>
      <c r="M564" s="18"/>
      <c r="N564" s="18"/>
      <c r="O564" s="18"/>
      <c r="S564" s="18"/>
      <c r="T564" s="20"/>
    </row>
    <row r="565" spans="7:20" x14ac:dyDescent="0.2">
      <c r="G565" s="18"/>
      <c r="H565" s="19"/>
      <c r="I565" s="18"/>
      <c r="J565" s="18"/>
      <c r="K565" s="18"/>
      <c r="L565" s="18"/>
      <c r="M565" s="18"/>
      <c r="N565" s="18"/>
      <c r="O565" s="18"/>
      <c r="S565" s="18"/>
      <c r="T565" s="20"/>
    </row>
    <row r="566" spans="7:20" x14ac:dyDescent="0.2">
      <c r="G566" s="18"/>
      <c r="H566" s="19"/>
      <c r="I566" s="18"/>
      <c r="J566" s="18"/>
      <c r="K566" s="18"/>
      <c r="L566" s="18"/>
      <c r="M566" s="18"/>
      <c r="N566" s="18"/>
      <c r="O566" s="18"/>
      <c r="S566" s="18"/>
      <c r="T566" s="20"/>
    </row>
    <row r="567" spans="7:20" x14ac:dyDescent="0.2">
      <c r="G567" s="18"/>
      <c r="H567" s="19"/>
      <c r="I567" s="18"/>
      <c r="J567" s="18"/>
      <c r="K567" s="18"/>
      <c r="L567" s="18"/>
      <c r="M567" s="18"/>
      <c r="N567" s="18"/>
      <c r="O567" s="18"/>
      <c r="S567" s="18"/>
      <c r="T567" s="20"/>
    </row>
    <row r="568" spans="7:20" x14ac:dyDescent="0.2">
      <c r="G568" s="18"/>
      <c r="H568" s="19"/>
      <c r="I568" s="18"/>
      <c r="J568" s="18"/>
      <c r="K568" s="18"/>
      <c r="L568" s="18"/>
      <c r="M568" s="18"/>
      <c r="N568" s="18"/>
      <c r="O568" s="18"/>
      <c r="S568" s="18"/>
      <c r="T568" s="20"/>
    </row>
    <row r="569" spans="7:20" x14ac:dyDescent="0.2">
      <c r="G569" s="18"/>
      <c r="H569" s="19"/>
      <c r="I569" s="18"/>
      <c r="J569" s="18"/>
      <c r="K569" s="18"/>
      <c r="L569" s="18"/>
      <c r="M569" s="18"/>
      <c r="N569" s="18"/>
      <c r="O569" s="18"/>
      <c r="S569" s="18"/>
      <c r="T569" s="20"/>
    </row>
    <row r="570" spans="7:20" x14ac:dyDescent="0.2">
      <c r="G570" s="18"/>
      <c r="H570" s="19"/>
      <c r="I570" s="18"/>
      <c r="J570" s="18"/>
      <c r="K570" s="18"/>
      <c r="L570" s="18"/>
      <c r="M570" s="18"/>
      <c r="N570" s="18"/>
      <c r="O570" s="18"/>
      <c r="S570" s="18"/>
      <c r="T570" s="20"/>
    </row>
    <row r="571" spans="7:20" x14ac:dyDescent="0.2">
      <c r="G571" s="18"/>
      <c r="H571" s="19"/>
      <c r="I571" s="18"/>
      <c r="J571" s="18"/>
      <c r="K571" s="18"/>
      <c r="L571" s="18"/>
      <c r="M571" s="18"/>
      <c r="N571" s="18"/>
      <c r="O571" s="18"/>
      <c r="S571" s="18"/>
      <c r="T571" s="20"/>
    </row>
    <row r="572" spans="7:20" x14ac:dyDescent="0.2">
      <c r="G572" s="18"/>
      <c r="H572" s="19"/>
      <c r="I572" s="18"/>
      <c r="J572" s="18"/>
      <c r="K572" s="18"/>
      <c r="L572" s="18"/>
      <c r="M572" s="18"/>
      <c r="N572" s="18"/>
      <c r="O572" s="18"/>
      <c r="S572" s="18"/>
      <c r="T572" s="20"/>
    </row>
    <row r="573" spans="7:20" x14ac:dyDescent="0.2">
      <c r="G573" s="18"/>
      <c r="H573" s="19"/>
      <c r="I573" s="18"/>
      <c r="J573" s="18"/>
      <c r="K573" s="18"/>
      <c r="L573" s="18"/>
      <c r="M573" s="18"/>
      <c r="N573" s="18"/>
      <c r="O573" s="18"/>
      <c r="S573" s="18"/>
      <c r="T573" s="20"/>
    </row>
    <row r="574" spans="7:20" x14ac:dyDescent="0.2">
      <c r="G574" s="18"/>
      <c r="H574" s="19"/>
      <c r="I574" s="18"/>
      <c r="J574" s="18"/>
      <c r="K574" s="18"/>
      <c r="L574" s="18"/>
      <c r="M574" s="18"/>
      <c r="N574" s="18"/>
      <c r="O574" s="18"/>
      <c r="S574" s="18"/>
      <c r="T574" s="20"/>
    </row>
    <row r="575" spans="7:20" x14ac:dyDescent="0.2">
      <c r="G575" s="18"/>
      <c r="H575" s="19"/>
      <c r="I575" s="18"/>
      <c r="J575" s="18"/>
      <c r="K575" s="18"/>
      <c r="L575" s="18"/>
      <c r="M575" s="18"/>
      <c r="N575" s="18"/>
      <c r="O575" s="18"/>
      <c r="S575" s="18"/>
      <c r="T575" s="20"/>
    </row>
    <row r="576" spans="7:20" x14ac:dyDescent="0.2">
      <c r="G576" s="18"/>
      <c r="H576" s="19"/>
      <c r="I576" s="18"/>
      <c r="J576" s="18"/>
      <c r="K576" s="18"/>
      <c r="L576" s="18"/>
      <c r="M576" s="18"/>
      <c r="N576" s="18"/>
      <c r="O576" s="18"/>
      <c r="S576" s="18"/>
      <c r="T576" s="20"/>
    </row>
    <row r="577" spans="7:20" x14ac:dyDescent="0.2">
      <c r="G577" s="18"/>
      <c r="H577" s="19"/>
      <c r="I577" s="18"/>
      <c r="J577" s="18"/>
      <c r="K577" s="18"/>
      <c r="L577" s="18"/>
      <c r="M577" s="18"/>
      <c r="N577" s="18"/>
      <c r="O577" s="18"/>
      <c r="S577" s="18"/>
      <c r="T577" s="20"/>
    </row>
    <row r="578" spans="7:20" x14ac:dyDescent="0.2">
      <c r="G578" s="18"/>
      <c r="H578" s="19"/>
      <c r="I578" s="18"/>
      <c r="J578" s="18"/>
      <c r="K578" s="18"/>
      <c r="L578" s="18"/>
      <c r="M578" s="18"/>
      <c r="N578" s="18"/>
      <c r="O578" s="18"/>
      <c r="S578" s="18"/>
      <c r="T578" s="20"/>
    </row>
    <row r="579" spans="7:20" x14ac:dyDescent="0.2">
      <c r="G579" s="18"/>
      <c r="H579" s="19"/>
      <c r="I579" s="18"/>
      <c r="J579" s="18"/>
      <c r="K579" s="18"/>
      <c r="L579" s="18"/>
      <c r="M579" s="18"/>
      <c r="N579" s="18"/>
      <c r="O579" s="18"/>
      <c r="S579" s="18"/>
      <c r="T579" s="20"/>
    </row>
    <row r="580" spans="7:20" x14ac:dyDescent="0.2">
      <c r="G580" s="18"/>
      <c r="H580" s="19"/>
      <c r="I580" s="18"/>
      <c r="J580" s="18"/>
      <c r="K580" s="18"/>
      <c r="L580" s="18"/>
      <c r="M580" s="18"/>
      <c r="N580" s="18"/>
      <c r="O580" s="18"/>
      <c r="S580" s="18"/>
      <c r="T580" s="20"/>
    </row>
    <row r="581" spans="7:20" x14ac:dyDescent="0.2">
      <c r="G581" s="18"/>
      <c r="H581" s="19"/>
      <c r="I581" s="18"/>
      <c r="J581" s="18"/>
      <c r="K581" s="18"/>
      <c r="L581" s="18"/>
      <c r="M581" s="18"/>
      <c r="N581" s="18"/>
      <c r="O581" s="18"/>
      <c r="S581" s="18"/>
      <c r="T581" s="20"/>
    </row>
    <row r="582" spans="7:20" x14ac:dyDescent="0.2">
      <c r="G582" s="18"/>
      <c r="H582" s="19"/>
      <c r="I582" s="18"/>
      <c r="J582" s="18"/>
      <c r="K582" s="18"/>
      <c r="L582" s="18"/>
      <c r="M582" s="18"/>
      <c r="N582" s="18"/>
      <c r="O582" s="18"/>
      <c r="S582" s="18"/>
      <c r="T582" s="20"/>
    </row>
    <row r="583" spans="7:20" x14ac:dyDescent="0.2">
      <c r="G583" s="18"/>
      <c r="H583" s="19"/>
      <c r="I583" s="18"/>
      <c r="J583" s="18"/>
      <c r="K583" s="18"/>
      <c r="L583" s="18"/>
      <c r="M583" s="18"/>
      <c r="N583" s="18"/>
      <c r="O583" s="18"/>
      <c r="S583" s="18"/>
      <c r="T583" s="20"/>
    </row>
    <row r="584" spans="7:20" x14ac:dyDescent="0.2">
      <c r="G584" s="18"/>
      <c r="H584" s="19"/>
      <c r="I584" s="18"/>
      <c r="J584" s="18"/>
      <c r="K584" s="18"/>
      <c r="L584" s="18"/>
      <c r="M584" s="18"/>
      <c r="N584" s="18"/>
      <c r="O584" s="18"/>
      <c r="S584" s="18"/>
      <c r="T584" s="20"/>
    </row>
    <row r="585" spans="7:20" x14ac:dyDescent="0.2">
      <c r="G585" s="18"/>
      <c r="H585" s="19"/>
      <c r="I585" s="18"/>
      <c r="J585" s="18"/>
      <c r="K585" s="18"/>
      <c r="L585" s="18"/>
      <c r="M585" s="18"/>
      <c r="N585" s="18"/>
      <c r="O585" s="18"/>
      <c r="S585" s="18"/>
      <c r="T585" s="20"/>
    </row>
    <row r="586" spans="7:20" x14ac:dyDescent="0.2">
      <c r="G586" s="18"/>
      <c r="H586" s="19"/>
      <c r="I586" s="18"/>
      <c r="J586" s="18"/>
      <c r="K586" s="18"/>
      <c r="L586" s="18"/>
      <c r="M586" s="18"/>
      <c r="N586" s="18"/>
      <c r="O586" s="18"/>
      <c r="S586" s="18"/>
      <c r="T586" s="20"/>
    </row>
    <row r="587" spans="7:20" x14ac:dyDescent="0.2">
      <c r="G587" s="18"/>
      <c r="H587" s="19"/>
      <c r="I587" s="18"/>
      <c r="J587" s="18"/>
      <c r="K587" s="18"/>
      <c r="L587" s="18"/>
      <c r="M587" s="18"/>
      <c r="N587" s="18"/>
      <c r="O587" s="18"/>
      <c r="S587" s="18"/>
      <c r="T587" s="20"/>
    </row>
    <row r="588" spans="7:20" x14ac:dyDescent="0.2">
      <c r="G588" s="18"/>
      <c r="H588" s="19"/>
      <c r="I588" s="18"/>
      <c r="J588" s="18"/>
      <c r="K588" s="18"/>
      <c r="L588" s="18"/>
      <c r="M588" s="18"/>
      <c r="N588" s="18"/>
      <c r="O588" s="18"/>
      <c r="S588" s="18"/>
      <c r="T588" s="20"/>
    </row>
    <row r="589" spans="7:20" x14ac:dyDescent="0.2">
      <c r="G589" s="18"/>
      <c r="H589" s="19"/>
      <c r="I589" s="18"/>
      <c r="J589" s="18"/>
      <c r="K589" s="18"/>
      <c r="L589" s="18"/>
      <c r="M589" s="18"/>
      <c r="N589" s="18"/>
      <c r="O589" s="18"/>
      <c r="S589" s="18"/>
      <c r="T589" s="20"/>
    </row>
    <row r="590" spans="7:20" x14ac:dyDescent="0.2">
      <c r="G590" s="18"/>
      <c r="H590" s="19"/>
      <c r="I590" s="18"/>
      <c r="J590" s="18"/>
      <c r="K590" s="18"/>
      <c r="L590" s="18"/>
      <c r="M590" s="18"/>
      <c r="N590" s="18"/>
      <c r="O590" s="18"/>
      <c r="S590" s="18"/>
      <c r="T590" s="20"/>
    </row>
    <row r="591" spans="7:20" x14ac:dyDescent="0.2">
      <c r="G591" s="18"/>
      <c r="H591" s="19"/>
      <c r="I591" s="18"/>
      <c r="J591" s="18"/>
      <c r="K591" s="18"/>
      <c r="L591" s="18"/>
      <c r="M591" s="18"/>
      <c r="N591" s="18"/>
      <c r="O591" s="18"/>
      <c r="S591" s="18"/>
      <c r="T591" s="20"/>
    </row>
    <row r="592" spans="7:20" x14ac:dyDescent="0.2">
      <c r="G592" s="18"/>
      <c r="H592" s="19"/>
      <c r="I592" s="18"/>
      <c r="J592" s="18"/>
      <c r="K592" s="18"/>
      <c r="L592" s="18"/>
      <c r="M592" s="18"/>
      <c r="N592" s="18"/>
      <c r="O592" s="18"/>
      <c r="S592" s="18"/>
      <c r="T592" s="20"/>
    </row>
    <row r="593" spans="7:20" x14ac:dyDescent="0.2">
      <c r="G593" s="18"/>
      <c r="H593" s="19"/>
      <c r="I593" s="18"/>
      <c r="J593" s="18"/>
      <c r="K593" s="18"/>
      <c r="L593" s="18"/>
      <c r="M593" s="18"/>
      <c r="N593" s="18"/>
      <c r="O593" s="18"/>
      <c r="S593" s="18"/>
      <c r="T593" s="20"/>
    </row>
    <row r="594" spans="7:20" x14ac:dyDescent="0.2">
      <c r="G594" s="18"/>
      <c r="H594" s="19"/>
      <c r="I594" s="18"/>
      <c r="J594" s="18"/>
      <c r="K594" s="18"/>
      <c r="L594" s="18"/>
      <c r="M594" s="18"/>
      <c r="N594" s="18"/>
      <c r="O594" s="18"/>
      <c r="S594" s="18"/>
      <c r="T594" s="20"/>
    </row>
    <row r="595" spans="7:20" x14ac:dyDescent="0.2">
      <c r="G595" s="18"/>
      <c r="H595" s="19"/>
      <c r="I595" s="18"/>
      <c r="J595" s="18"/>
      <c r="K595" s="18"/>
      <c r="L595" s="18"/>
      <c r="M595" s="18"/>
      <c r="N595" s="18"/>
      <c r="O595" s="18"/>
      <c r="S595" s="18"/>
      <c r="T595" s="20"/>
    </row>
    <row r="596" spans="7:20" x14ac:dyDescent="0.2">
      <c r="G596" s="18"/>
      <c r="H596" s="19"/>
      <c r="I596" s="18"/>
      <c r="J596" s="18"/>
      <c r="K596" s="18"/>
      <c r="L596" s="18"/>
      <c r="M596" s="18"/>
      <c r="N596" s="18"/>
      <c r="O596" s="18"/>
      <c r="S596" s="18"/>
      <c r="T596" s="20"/>
    </row>
    <row r="597" spans="7:20" x14ac:dyDescent="0.2">
      <c r="G597" s="18"/>
      <c r="H597" s="19"/>
      <c r="I597" s="18"/>
      <c r="J597" s="18"/>
      <c r="K597" s="18"/>
      <c r="L597" s="18"/>
      <c r="M597" s="18"/>
      <c r="N597" s="18"/>
      <c r="O597" s="18"/>
      <c r="S597" s="18"/>
      <c r="T597" s="20"/>
    </row>
    <row r="598" spans="7:20" x14ac:dyDescent="0.2">
      <c r="G598" s="18"/>
      <c r="H598" s="19"/>
      <c r="I598" s="18"/>
      <c r="J598" s="18"/>
      <c r="K598" s="18"/>
      <c r="L598" s="18"/>
      <c r="M598" s="18"/>
      <c r="N598" s="18"/>
      <c r="O598" s="18"/>
      <c r="S598" s="18"/>
      <c r="T598" s="20"/>
    </row>
    <row r="599" spans="7:20" x14ac:dyDescent="0.2">
      <c r="G599" s="18"/>
      <c r="H599" s="19"/>
      <c r="I599" s="18"/>
      <c r="J599" s="18"/>
      <c r="K599" s="18"/>
      <c r="L599" s="18"/>
      <c r="M599" s="18"/>
      <c r="N599" s="18"/>
      <c r="O599" s="18"/>
      <c r="S599" s="18"/>
      <c r="T599" s="20"/>
    </row>
    <row r="600" spans="7:20" x14ac:dyDescent="0.2">
      <c r="G600" s="18"/>
      <c r="H600" s="19"/>
      <c r="I600" s="18"/>
      <c r="J600" s="18"/>
      <c r="K600" s="18"/>
      <c r="L600" s="18"/>
      <c r="M600" s="18"/>
      <c r="N600" s="18"/>
      <c r="O600" s="18"/>
      <c r="S600" s="18"/>
      <c r="T600" s="20"/>
    </row>
    <row r="601" spans="7:20" x14ac:dyDescent="0.2">
      <c r="G601" s="18"/>
      <c r="H601" s="19"/>
      <c r="I601" s="18"/>
      <c r="J601" s="18"/>
      <c r="K601" s="18"/>
      <c r="L601" s="18"/>
      <c r="M601" s="18"/>
      <c r="N601" s="18"/>
      <c r="O601" s="18"/>
      <c r="S601" s="18"/>
      <c r="T601" s="20"/>
    </row>
    <row r="602" spans="7:20" x14ac:dyDescent="0.2">
      <c r="G602" s="18"/>
      <c r="H602" s="19"/>
      <c r="I602" s="18"/>
      <c r="J602" s="18"/>
      <c r="K602" s="18"/>
      <c r="L602" s="18"/>
      <c r="M602" s="18"/>
      <c r="N602" s="18"/>
      <c r="O602" s="18"/>
      <c r="S602" s="18"/>
      <c r="T602" s="20"/>
    </row>
    <row r="603" spans="7:20" x14ac:dyDescent="0.2">
      <c r="G603" s="18"/>
      <c r="H603" s="19"/>
      <c r="I603" s="18"/>
      <c r="J603" s="18"/>
      <c r="K603" s="18"/>
      <c r="L603" s="18"/>
      <c r="M603" s="18"/>
      <c r="N603" s="18"/>
      <c r="O603" s="18"/>
      <c r="S603" s="18"/>
      <c r="T603" s="20"/>
    </row>
    <row r="604" spans="7:20" x14ac:dyDescent="0.2">
      <c r="G604" s="18"/>
      <c r="H604" s="19"/>
      <c r="I604" s="18"/>
      <c r="J604" s="18"/>
      <c r="K604" s="18"/>
      <c r="L604" s="18"/>
      <c r="M604" s="18"/>
      <c r="N604" s="18"/>
      <c r="O604" s="18"/>
      <c r="S604" s="18"/>
      <c r="T604" s="20"/>
    </row>
    <row r="605" spans="7:20" x14ac:dyDescent="0.2">
      <c r="G605" s="18"/>
      <c r="H605" s="19"/>
      <c r="I605" s="18"/>
      <c r="J605" s="18"/>
      <c r="K605" s="18"/>
      <c r="L605" s="18"/>
      <c r="M605" s="18"/>
      <c r="N605" s="18"/>
      <c r="O605" s="18"/>
      <c r="S605" s="18"/>
      <c r="T605" s="20"/>
    </row>
    <row r="606" spans="7:20" x14ac:dyDescent="0.2">
      <c r="G606" s="18"/>
      <c r="H606" s="19"/>
      <c r="I606" s="18"/>
      <c r="J606" s="18"/>
      <c r="K606" s="18"/>
      <c r="L606" s="18"/>
      <c r="M606" s="18"/>
      <c r="N606" s="18"/>
      <c r="O606" s="18"/>
      <c r="S606" s="18"/>
      <c r="T606" s="20"/>
    </row>
    <row r="607" spans="7:20" x14ac:dyDescent="0.2">
      <c r="G607" s="18"/>
      <c r="H607" s="19"/>
      <c r="I607" s="18"/>
      <c r="J607" s="18"/>
      <c r="K607" s="18"/>
      <c r="L607" s="18"/>
      <c r="M607" s="18"/>
      <c r="N607" s="18"/>
      <c r="O607" s="18"/>
      <c r="S607" s="18"/>
      <c r="T607" s="20"/>
    </row>
    <row r="608" spans="7:20" x14ac:dyDescent="0.2">
      <c r="G608" s="18"/>
      <c r="H608" s="19"/>
      <c r="I608" s="18"/>
      <c r="J608" s="18"/>
      <c r="K608" s="18"/>
      <c r="L608" s="18"/>
      <c r="M608" s="18"/>
      <c r="N608" s="18"/>
      <c r="O608" s="18"/>
      <c r="S608" s="18"/>
      <c r="T608" s="20"/>
    </row>
    <row r="609" spans="7:20" x14ac:dyDescent="0.2">
      <c r="G609" s="18"/>
      <c r="H609" s="19"/>
      <c r="I609" s="18"/>
      <c r="J609" s="18"/>
      <c r="K609" s="18"/>
      <c r="L609" s="18"/>
      <c r="M609" s="18"/>
      <c r="N609" s="18"/>
      <c r="O609" s="18"/>
      <c r="S609" s="18"/>
      <c r="T609" s="20"/>
    </row>
    <row r="610" spans="7:20" x14ac:dyDescent="0.2">
      <c r="G610" s="18"/>
      <c r="H610" s="19"/>
      <c r="I610" s="18"/>
      <c r="J610" s="18"/>
      <c r="K610" s="18"/>
      <c r="L610" s="18"/>
      <c r="M610" s="18"/>
      <c r="N610" s="18"/>
      <c r="O610" s="18"/>
      <c r="S610" s="18"/>
      <c r="T610" s="20"/>
    </row>
    <row r="611" spans="7:20" x14ac:dyDescent="0.2">
      <c r="G611" s="18"/>
      <c r="H611" s="19"/>
      <c r="I611" s="18"/>
      <c r="J611" s="18"/>
      <c r="K611" s="18"/>
      <c r="L611" s="18"/>
      <c r="M611" s="18"/>
      <c r="N611" s="18"/>
      <c r="O611" s="18"/>
      <c r="S611" s="18"/>
      <c r="T611" s="20"/>
    </row>
    <row r="612" spans="7:20" x14ac:dyDescent="0.2">
      <c r="G612" s="18"/>
      <c r="H612" s="19"/>
      <c r="I612" s="18"/>
      <c r="J612" s="18"/>
      <c r="K612" s="18"/>
      <c r="L612" s="18"/>
      <c r="M612" s="18"/>
      <c r="N612" s="18"/>
      <c r="O612" s="18"/>
      <c r="S612" s="18"/>
      <c r="T612" s="20"/>
    </row>
    <row r="613" spans="7:20" x14ac:dyDescent="0.2">
      <c r="G613" s="18"/>
      <c r="H613" s="19"/>
      <c r="I613" s="18"/>
      <c r="J613" s="18"/>
      <c r="K613" s="18"/>
      <c r="L613" s="18"/>
      <c r="M613" s="18"/>
      <c r="N613" s="18"/>
      <c r="O613" s="18"/>
      <c r="S613" s="18"/>
      <c r="T613" s="20"/>
    </row>
    <row r="614" spans="7:20" x14ac:dyDescent="0.2">
      <c r="G614" s="18"/>
      <c r="H614" s="19"/>
      <c r="I614" s="18"/>
      <c r="J614" s="18"/>
      <c r="K614" s="18"/>
      <c r="L614" s="18"/>
      <c r="M614" s="18"/>
      <c r="N614" s="18"/>
      <c r="O614" s="18"/>
      <c r="S614" s="18"/>
      <c r="T614" s="20"/>
    </row>
    <row r="615" spans="7:20" x14ac:dyDescent="0.2">
      <c r="G615" s="18"/>
      <c r="H615" s="19"/>
      <c r="I615" s="18"/>
      <c r="J615" s="18"/>
      <c r="K615" s="18"/>
      <c r="L615" s="18"/>
      <c r="M615" s="18"/>
      <c r="N615" s="18"/>
      <c r="O615" s="18"/>
      <c r="S615" s="18"/>
      <c r="T615" s="20"/>
    </row>
    <row r="616" spans="7:20" x14ac:dyDescent="0.2">
      <c r="G616" s="18"/>
      <c r="H616" s="19"/>
      <c r="I616" s="18"/>
      <c r="J616" s="18"/>
      <c r="K616" s="18"/>
      <c r="L616" s="18"/>
      <c r="M616" s="18"/>
      <c r="N616" s="18"/>
      <c r="O616" s="18"/>
      <c r="S616" s="18"/>
      <c r="T616" s="20"/>
    </row>
    <row r="617" spans="7:20" x14ac:dyDescent="0.2">
      <c r="G617" s="18"/>
      <c r="H617" s="19"/>
      <c r="I617" s="18"/>
      <c r="J617" s="18"/>
      <c r="K617" s="18"/>
      <c r="L617" s="18"/>
      <c r="M617" s="18"/>
      <c r="N617" s="18"/>
      <c r="O617" s="18"/>
      <c r="S617" s="18"/>
      <c r="T617" s="20"/>
    </row>
    <row r="618" spans="7:20" x14ac:dyDescent="0.2">
      <c r="G618" s="18"/>
      <c r="H618" s="19"/>
      <c r="I618" s="18"/>
      <c r="J618" s="18"/>
      <c r="K618" s="18"/>
      <c r="L618" s="18"/>
      <c r="M618" s="18"/>
      <c r="N618" s="18"/>
      <c r="O618" s="18"/>
      <c r="S618" s="18"/>
      <c r="T618" s="20"/>
    </row>
    <row r="619" spans="7:20" x14ac:dyDescent="0.2">
      <c r="G619" s="18"/>
      <c r="H619" s="19"/>
      <c r="I619" s="18"/>
      <c r="J619" s="18"/>
      <c r="K619" s="18"/>
      <c r="L619" s="18"/>
      <c r="M619" s="18"/>
      <c r="N619" s="18"/>
      <c r="O619" s="18"/>
      <c r="S619" s="18"/>
      <c r="T619" s="20"/>
    </row>
    <row r="620" spans="7:20" x14ac:dyDescent="0.2">
      <c r="G620" s="18"/>
      <c r="H620" s="19"/>
      <c r="I620" s="18"/>
      <c r="J620" s="18"/>
      <c r="K620" s="18"/>
      <c r="L620" s="18"/>
      <c r="M620" s="18"/>
      <c r="N620" s="18"/>
      <c r="O620" s="18"/>
      <c r="S620" s="18"/>
      <c r="T620" s="20"/>
    </row>
    <row r="621" spans="7:20" x14ac:dyDescent="0.2">
      <c r="G621" s="18"/>
      <c r="H621" s="19"/>
      <c r="I621" s="18"/>
      <c r="J621" s="18"/>
      <c r="K621" s="18"/>
      <c r="L621" s="18"/>
      <c r="M621" s="18"/>
      <c r="N621" s="18"/>
      <c r="O621" s="18"/>
      <c r="S621" s="18"/>
      <c r="T621" s="20"/>
    </row>
    <row r="622" spans="7:20" x14ac:dyDescent="0.2">
      <c r="G622" s="18"/>
      <c r="H622" s="19"/>
      <c r="I622" s="18"/>
      <c r="J622" s="18"/>
      <c r="K622" s="18"/>
      <c r="L622" s="18"/>
      <c r="M622" s="18"/>
      <c r="N622" s="18"/>
      <c r="O622" s="18"/>
      <c r="S622" s="18"/>
      <c r="T622" s="20"/>
    </row>
    <row r="623" spans="7:20" x14ac:dyDescent="0.2">
      <c r="G623" s="18"/>
      <c r="H623" s="19"/>
      <c r="I623" s="18"/>
      <c r="J623" s="18"/>
      <c r="K623" s="18"/>
      <c r="L623" s="18"/>
      <c r="M623" s="18"/>
      <c r="N623" s="18"/>
      <c r="O623" s="18"/>
      <c r="S623" s="18"/>
      <c r="T623" s="20"/>
    </row>
    <row r="624" spans="7:20" x14ac:dyDescent="0.2">
      <c r="G624" s="18"/>
      <c r="H624" s="19"/>
      <c r="I624" s="18"/>
      <c r="J624" s="18"/>
      <c r="K624" s="18"/>
      <c r="L624" s="18"/>
      <c r="M624" s="18"/>
      <c r="N624" s="18"/>
      <c r="O624" s="18"/>
      <c r="S624" s="18"/>
      <c r="T624" s="20"/>
    </row>
    <row r="625" spans="7:20" x14ac:dyDescent="0.2">
      <c r="G625" s="18"/>
      <c r="H625" s="19"/>
      <c r="I625" s="18"/>
      <c r="J625" s="18"/>
      <c r="K625" s="18"/>
      <c r="L625" s="18"/>
      <c r="M625" s="18"/>
      <c r="N625" s="18"/>
      <c r="O625" s="18"/>
      <c r="S625" s="18"/>
      <c r="T625" s="20"/>
    </row>
    <row r="626" spans="7:20" x14ac:dyDescent="0.2">
      <c r="G626" s="18"/>
      <c r="H626" s="19"/>
      <c r="I626" s="18"/>
      <c r="J626" s="18"/>
      <c r="K626" s="18"/>
      <c r="L626" s="18"/>
      <c r="M626" s="18"/>
      <c r="N626" s="18"/>
      <c r="O626" s="18"/>
      <c r="S626" s="18"/>
      <c r="T626" s="20"/>
    </row>
    <row r="627" spans="7:20" x14ac:dyDescent="0.2">
      <c r="G627" s="18"/>
      <c r="H627" s="19"/>
      <c r="I627" s="18"/>
      <c r="J627" s="18"/>
      <c r="K627" s="18"/>
      <c r="L627" s="18"/>
      <c r="M627" s="18"/>
      <c r="N627" s="18"/>
      <c r="O627" s="18"/>
      <c r="S627" s="18"/>
      <c r="T627" s="20"/>
    </row>
    <row r="628" spans="7:20" x14ac:dyDescent="0.2">
      <c r="G628" s="18"/>
      <c r="H628" s="19"/>
      <c r="I628" s="18"/>
      <c r="J628" s="18"/>
      <c r="K628" s="18"/>
      <c r="L628" s="18"/>
      <c r="M628" s="18"/>
      <c r="N628" s="18"/>
      <c r="O628" s="18"/>
      <c r="S628" s="18"/>
      <c r="T628" s="20"/>
    </row>
    <row r="629" spans="7:20" x14ac:dyDescent="0.2">
      <c r="G629" s="18"/>
      <c r="H629" s="19"/>
      <c r="I629" s="18"/>
      <c r="J629" s="18"/>
      <c r="K629" s="18"/>
      <c r="L629" s="18"/>
      <c r="M629" s="18"/>
      <c r="N629" s="18"/>
      <c r="O629" s="18"/>
      <c r="S629" s="18"/>
      <c r="T629" s="20"/>
    </row>
    <row r="630" spans="7:20" x14ac:dyDescent="0.2">
      <c r="G630" s="18"/>
      <c r="H630" s="19"/>
      <c r="I630" s="18"/>
      <c r="J630" s="18"/>
      <c r="K630" s="18"/>
      <c r="L630" s="18"/>
      <c r="M630" s="18"/>
      <c r="N630" s="18"/>
      <c r="O630" s="18"/>
      <c r="S630" s="18"/>
      <c r="T630" s="20"/>
    </row>
    <row r="631" spans="7:20" x14ac:dyDescent="0.2">
      <c r="G631" s="18"/>
      <c r="H631" s="19"/>
      <c r="I631" s="18"/>
      <c r="J631" s="18"/>
      <c r="K631" s="18"/>
      <c r="L631" s="18"/>
      <c r="M631" s="18"/>
      <c r="N631" s="18"/>
      <c r="O631" s="18"/>
      <c r="S631" s="18"/>
      <c r="T631" s="20"/>
    </row>
    <row r="632" spans="7:20" x14ac:dyDescent="0.2">
      <c r="G632" s="18"/>
      <c r="H632" s="19"/>
      <c r="I632" s="18"/>
      <c r="J632" s="18"/>
      <c r="K632" s="18"/>
      <c r="L632" s="18"/>
      <c r="M632" s="18"/>
      <c r="N632" s="18"/>
      <c r="O632" s="18"/>
      <c r="S632" s="18"/>
      <c r="T632" s="20"/>
    </row>
    <row r="633" spans="7:20" x14ac:dyDescent="0.2">
      <c r="G633" s="18"/>
      <c r="H633" s="19"/>
      <c r="I633" s="18"/>
      <c r="J633" s="18"/>
      <c r="K633" s="18"/>
      <c r="L633" s="18"/>
      <c r="M633" s="18"/>
      <c r="N633" s="18"/>
      <c r="O633" s="18"/>
      <c r="S633" s="18"/>
      <c r="T633" s="20"/>
    </row>
    <row r="634" spans="7:20" x14ac:dyDescent="0.2">
      <c r="G634" s="18"/>
      <c r="H634" s="19"/>
      <c r="I634" s="18"/>
      <c r="J634" s="18"/>
      <c r="K634" s="18"/>
      <c r="L634" s="18"/>
      <c r="M634" s="18"/>
      <c r="N634" s="18"/>
      <c r="O634" s="18"/>
      <c r="S634" s="18"/>
      <c r="T634" s="20"/>
    </row>
    <row r="635" spans="7:20" x14ac:dyDescent="0.2">
      <c r="G635" s="18"/>
      <c r="H635" s="19"/>
      <c r="I635" s="18"/>
      <c r="J635" s="18"/>
      <c r="K635" s="18"/>
      <c r="L635" s="18"/>
      <c r="M635" s="18"/>
      <c r="N635" s="18"/>
      <c r="O635" s="18"/>
      <c r="S635" s="18"/>
      <c r="T635" s="20"/>
    </row>
    <row r="636" spans="7:20" x14ac:dyDescent="0.2">
      <c r="G636" s="18"/>
      <c r="H636" s="19"/>
      <c r="I636" s="18"/>
      <c r="J636" s="18"/>
      <c r="K636" s="18"/>
      <c r="L636" s="18"/>
      <c r="M636" s="18"/>
      <c r="N636" s="18"/>
      <c r="O636" s="18"/>
      <c r="S636" s="18"/>
      <c r="T636" s="20"/>
    </row>
    <row r="637" spans="7:20" x14ac:dyDescent="0.2">
      <c r="G637" s="18"/>
      <c r="H637" s="19"/>
      <c r="I637" s="18"/>
      <c r="J637" s="18"/>
      <c r="K637" s="18"/>
      <c r="L637" s="18"/>
      <c r="M637" s="18"/>
      <c r="N637" s="18"/>
      <c r="O637" s="18"/>
      <c r="S637" s="18"/>
      <c r="T637" s="20"/>
    </row>
    <row r="638" spans="7:20" x14ac:dyDescent="0.2">
      <c r="G638" s="18"/>
      <c r="H638" s="19"/>
      <c r="I638" s="18"/>
      <c r="J638" s="18"/>
      <c r="K638" s="18"/>
      <c r="L638" s="18"/>
      <c r="M638" s="18"/>
      <c r="N638" s="18"/>
      <c r="O638" s="18"/>
      <c r="S638" s="18"/>
      <c r="T638" s="20"/>
    </row>
    <row r="639" spans="7:20" x14ac:dyDescent="0.2">
      <c r="G639" s="18"/>
      <c r="H639" s="19"/>
      <c r="I639" s="18"/>
      <c r="J639" s="18"/>
      <c r="K639" s="18"/>
      <c r="L639" s="18"/>
      <c r="M639" s="18"/>
      <c r="N639" s="18"/>
      <c r="O639" s="18"/>
      <c r="S639" s="18"/>
      <c r="T639" s="20"/>
    </row>
    <row r="640" spans="7:20" x14ac:dyDescent="0.2">
      <c r="G640" s="18"/>
      <c r="H640" s="19"/>
      <c r="I640" s="18"/>
      <c r="J640" s="18"/>
      <c r="K640" s="18"/>
      <c r="L640" s="18"/>
      <c r="M640" s="18"/>
      <c r="N640" s="18"/>
      <c r="O640" s="18"/>
      <c r="S640" s="18"/>
      <c r="T640" s="20"/>
    </row>
    <row r="641" spans="7:20" x14ac:dyDescent="0.2">
      <c r="G641" s="18"/>
      <c r="H641" s="19"/>
      <c r="I641" s="18"/>
      <c r="J641" s="18"/>
      <c r="K641" s="18"/>
      <c r="L641" s="18"/>
      <c r="M641" s="18"/>
      <c r="N641" s="18"/>
      <c r="O641" s="18"/>
      <c r="S641" s="18"/>
      <c r="T641" s="20"/>
    </row>
    <row r="642" spans="7:20" x14ac:dyDescent="0.2">
      <c r="G642" s="18"/>
      <c r="H642" s="19"/>
      <c r="I642" s="18"/>
      <c r="J642" s="18"/>
      <c r="K642" s="18"/>
      <c r="L642" s="18"/>
      <c r="M642" s="18"/>
      <c r="N642" s="18"/>
      <c r="O642" s="18"/>
      <c r="S642" s="18"/>
      <c r="T642" s="20"/>
    </row>
    <row r="643" spans="7:20" x14ac:dyDescent="0.2">
      <c r="G643" s="18"/>
      <c r="H643" s="19"/>
      <c r="I643" s="18"/>
      <c r="J643" s="18"/>
      <c r="K643" s="18"/>
      <c r="L643" s="18"/>
      <c r="M643" s="18"/>
      <c r="N643" s="18"/>
      <c r="O643" s="18"/>
      <c r="S643" s="18"/>
      <c r="T643" s="20"/>
    </row>
    <row r="644" spans="7:20" x14ac:dyDescent="0.2">
      <c r="G644" s="18"/>
      <c r="H644" s="19"/>
      <c r="I644" s="18"/>
      <c r="J644" s="18"/>
      <c r="K644" s="18"/>
      <c r="L644" s="18"/>
      <c r="M644" s="18"/>
      <c r="N644" s="18"/>
      <c r="O644" s="18"/>
      <c r="S644" s="18"/>
      <c r="T644" s="20"/>
    </row>
    <row r="645" spans="7:20" x14ac:dyDescent="0.2">
      <c r="G645" s="18"/>
      <c r="H645" s="19"/>
      <c r="I645" s="18"/>
      <c r="J645" s="18"/>
      <c r="K645" s="18"/>
      <c r="L645" s="18"/>
      <c r="M645" s="18"/>
      <c r="N645" s="18"/>
      <c r="O645" s="18"/>
      <c r="S645" s="18"/>
      <c r="T645" s="20"/>
    </row>
    <row r="646" spans="7:20" x14ac:dyDescent="0.2">
      <c r="G646" s="18"/>
      <c r="H646" s="19"/>
      <c r="I646" s="18"/>
      <c r="J646" s="18"/>
      <c r="K646" s="18"/>
      <c r="L646" s="18"/>
      <c r="M646" s="18"/>
      <c r="N646" s="18"/>
      <c r="O646" s="18"/>
      <c r="S646" s="18"/>
      <c r="T646" s="20"/>
    </row>
    <row r="647" spans="7:20" x14ac:dyDescent="0.2">
      <c r="G647" s="18"/>
      <c r="H647" s="19"/>
      <c r="I647" s="18"/>
      <c r="J647" s="18"/>
      <c r="K647" s="18"/>
      <c r="L647" s="18"/>
      <c r="M647" s="18"/>
      <c r="N647" s="18"/>
      <c r="O647" s="18"/>
      <c r="S647" s="18"/>
      <c r="T647" s="20"/>
    </row>
    <row r="648" spans="7:20" x14ac:dyDescent="0.2">
      <c r="G648" s="18"/>
      <c r="H648" s="19"/>
      <c r="I648" s="18"/>
      <c r="J648" s="18"/>
      <c r="K648" s="18"/>
      <c r="L648" s="18"/>
      <c r="M648" s="18"/>
      <c r="N648" s="18"/>
      <c r="O648" s="18"/>
      <c r="S648" s="18"/>
      <c r="T648" s="20"/>
    </row>
    <row r="649" spans="7:20" x14ac:dyDescent="0.2">
      <c r="G649" s="18"/>
      <c r="H649" s="19"/>
      <c r="I649" s="18"/>
      <c r="J649" s="18"/>
      <c r="K649" s="18"/>
      <c r="L649" s="18"/>
      <c r="M649" s="18"/>
      <c r="N649" s="18"/>
      <c r="O649" s="18"/>
      <c r="S649" s="18"/>
      <c r="T649" s="20"/>
    </row>
    <row r="650" spans="7:20" x14ac:dyDescent="0.2">
      <c r="G650" s="18"/>
      <c r="H650" s="19"/>
      <c r="I650" s="18"/>
      <c r="J650" s="18"/>
      <c r="K650" s="18"/>
      <c r="L650" s="18"/>
      <c r="M650" s="18"/>
      <c r="N650" s="18"/>
      <c r="O650" s="18"/>
      <c r="S650" s="18"/>
      <c r="T650" s="20"/>
    </row>
    <row r="651" spans="7:20" x14ac:dyDescent="0.2">
      <c r="G651" s="18"/>
      <c r="H651" s="19"/>
      <c r="I651" s="18"/>
      <c r="J651" s="18"/>
      <c r="K651" s="18"/>
      <c r="L651" s="18"/>
      <c r="M651" s="18"/>
      <c r="N651" s="18"/>
      <c r="O651" s="18"/>
      <c r="S651" s="18"/>
      <c r="T651" s="20"/>
    </row>
    <row r="652" spans="7:20" x14ac:dyDescent="0.2">
      <c r="G652" s="18"/>
      <c r="H652" s="19"/>
      <c r="I652" s="18"/>
      <c r="J652" s="18"/>
      <c r="K652" s="18"/>
      <c r="L652" s="18"/>
      <c r="M652" s="18"/>
      <c r="N652" s="18"/>
      <c r="O652" s="18"/>
      <c r="S652" s="18"/>
      <c r="T652" s="20"/>
    </row>
    <row r="653" spans="7:20" x14ac:dyDescent="0.2">
      <c r="G653" s="18"/>
      <c r="H653" s="19"/>
      <c r="I653" s="18"/>
      <c r="J653" s="18"/>
      <c r="K653" s="18"/>
      <c r="L653" s="18"/>
      <c r="M653" s="18"/>
      <c r="N653" s="18"/>
      <c r="O653" s="18"/>
      <c r="S653" s="18"/>
      <c r="T653" s="20"/>
    </row>
    <row r="654" spans="7:20" x14ac:dyDescent="0.2">
      <c r="G654" s="18"/>
      <c r="H654" s="19"/>
      <c r="I654" s="18"/>
      <c r="J654" s="18"/>
      <c r="K654" s="18"/>
      <c r="L654" s="18"/>
      <c r="M654" s="18"/>
      <c r="N654" s="18"/>
      <c r="O654" s="18"/>
      <c r="S654" s="18"/>
      <c r="T654" s="20"/>
    </row>
    <row r="655" spans="7:20" x14ac:dyDescent="0.2">
      <c r="G655" s="18"/>
      <c r="H655" s="19"/>
      <c r="I655" s="18"/>
      <c r="J655" s="18"/>
      <c r="K655" s="18"/>
      <c r="L655" s="18"/>
      <c r="M655" s="18"/>
      <c r="N655" s="18"/>
      <c r="O655" s="18"/>
      <c r="S655" s="18"/>
      <c r="T655" s="20"/>
    </row>
    <row r="656" spans="7:20" x14ac:dyDescent="0.2">
      <c r="G656" s="18"/>
      <c r="H656" s="19"/>
      <c r="I656" s="18"/>
      <c r="J656" s="18"/>
      <c r="K656" s="18"/>
      <c r="L656" s="18"/>
      <c r="M656" s="18"/>
      <c r="N656" s="18"/>
      <c r="O656" s="18"/>
      <c r="S656" s="18"/>
      <c r="T656" s="20"/>
    </row>
    <row r="657" spans="7:20" x14ac:dyDescent="0.2">
      <c r="G657" s="18"/>
      <c r="H657" s="19"/>
      <c r="I657" s="18"/>
      <c r="J657" s="18"/>
      <c r="K657" s="18"/>
      <c r="L657" s="18"/>
      <c r="M657" s="18"/>
      <c r="N657" s="18"/>
      <c r="O657" s="18"/>
      <c r="S657" s="18"/>
      <c r="T657" s="20"/>
    </row>
    <row r="658" spans="7:20" x14ac:dyDescent="0.2">
      <c r="G658" s="18"/>
      <c r="H658" s="19"/>
      <c r="I658" s="18"/>
      <c r="J658" s="18"/>
      <c r="K658" s="18"/>
      <c r="L658" s="18"/>
      <c r="M658" s="18"/>
      <c r="N658" s="18"/>
      <c r="O658" s="18"/>
      <c r="S658" s="18"/>
      <c r="T658" s="20"/>
    </row>
    <row r="659" spans="7:20" x14ac:dyDescent="0.2">
      <c r="G659" s="18"/>
      <c r="H659" s="19"/>
      <c r="I659" s="18"/>
      <c r="J659" s="18"/>
      <c r="K659" s="18"/>
      <c r="L659" s="18"/>
      <c r="M659" s="18"/>
      <c r="N659" s="18"/>
      <c r="O659" s="18"/>
      <c r="S659" s="18"/>
      <c r="T659" s="20"/>
    </row>
    <row r="660" spans="7:20" x14ac:dyDescent="0.2">
      <c r="G660" s="18"/>
      <c r="H660" s="19"/>
      <c r="I660" s="18"/>
      <c r="J660" s="18"/>
      <c r="K660" s="18"/>
      <c r="L660" s="18"/>
      <c r="M660" s="18"/>
      <c r="N660" s="18"/>
      <c r="O660" s="18"/>
      <c r="S660" s="18"/>
      <c r="T660" s="20"/>
    </row>
    <row r="661" spans="7:20" x14ac:dyDescent="0.2">
      <c r="G661" s="18"/>
      <c r="H661" s="19"/>
      <c r="I661" s="18"/>
      <c r="J661" s="18"/>
      <c r="K661" s="18"/>
      <c r="L661" s="18"/>
      <c r="M661" s="18"/>
      <c r="N661" s="18"/>
      <c r="O661" s="18"/>
      <c r="S661" s="18"/>
      <c r="T661" s="20"/>
    </row>
    <row r="662" spans="7:20" x14ac:dyDescent="0.2">
      <c r="G662" s="18"/>
      <c r="H662" s="19"/>
      <c r="I662" s="18"/>
      <c r="J662" s="18"/>
      <c r="K662" s="18"/>
      <c r="L662" s="18"/>
      <c r="M662" s="18"/>
      <c r="N662" s="18"/>
      <c r="O662" s="18"/>
      <c r="S662" s="18"/>
      <c r="T662" s="20"/>
    </row>
    <row r="663" spans="7:20" x14ac:dyDescent="0.2">
      <c r="G663" s="18"/>
      <c r="H663" s="19"/>
      <c r="I663" s="18"/>
      <c r="J663" s="18"/>
      <c r="K663" s="18"/>
      <c r="L663" s="18"/>
      <c r="M663" s="18"/>
      <c r="N663" s="18"/>
      <c r="O663" s="18"/>
      <c r="S663" s="18"/>
      <c r="T663" s="20"/>
    </row>
    <row r="664" spans="7:20" x14ac:dyDescent="0.2">
      <c r="G664" s="18"/>
      <c r="H664" s="19"/>
      <c r="I664" s="18"/>
      <c r="J664" s="18"/>
      <c r="K664" s="18"/>
      <c r="L664" s="18"/>
      <c r="M664" s="18"/>
      <c r="N664" s="18"/>
      <c r="O664" s="18"/>
      <c r="S664" s="18"/>
      <c r="T664" s="20"/>
    </row>
    <row r="665" spans="7:20" x14ac:dyDescent="0.2">
      <c r="G665" s="18"/>
      <c r="H665" s="19"/>
      <c r="I665" s="18"/>
      <c r="J665" s="18"/>
      <c r="K665" s="18"/>
      <c r="L665" s="18"/>
      <c r="M665" s="18"/>
      <c r="N665" s="18"/>
      <c r="O665" s="18"/>
      <c r="S665" s="18"/>
      <c r="T665" s="20"/>
    </row>
    <row r="666" spans="7:20" x14ac:dyDescent="0.2">
      <c r="G666" s="18"/>
      <c r="H666" s="19"/>
      <c r="I666" s="18"/>
      <c r="J666" s="18"/>
      <c r="K666" s="18"/>
      <c r="L666" s="18"/>
      <c r="M666" s="18"/>
      <c r="N666" s="18"/>
      <c r="O666" s="18"/>
      <c r="S666" s="18"/>
      <c r="T666" s="20"/>
    </row>
    <row r="667" spans="7:20" x14ac:dyDescent="0.2">
      <c r="G667" s="18"/>
      <c r="H667" s="19"/>
      <c r="I667" s="18"/>
      <c r="J667" s="18"/>
      <c r="K667" s="18"/>
      <c r="L667" s="18"/>
      <c r="M667" s="18"/>
      <c r="N667" s="18"/>
      <c r="O667" s="18"/>
      <c r="S667" s="18"/>
      <c r="T667" s="20"/>
    </row>
    <row r="668" spans="7:20" x14ac:dyDescent="0.2">
      <c r="G668" s="18"/>
      <c r="H668" s="19"/>
      <c r="I668" s="18"/>
      <c r="J668" s="18"/>
      <c r="K668" s="18"/>
      <c r="L668" s="18"/>
      <c r="M668" s="18"/>
      <c r="N668" s="18"/>
      <c r="O668" s="18"/>
      <c r="S668" s="18"/>
      <c r="T668" s="20"/>
    </row>
    <row r="669" spans="7:20" x14ac:dyDescent="0.2">
      <c r="G669" s="18"/>
      <c r="H669" s="19"/>
      <c r="I669" s="18"/>
      <c r="J669" s="18"/>
      <c r="K669" s="18"/>
      <c r="L669" s="18"/>
      <c r="M669" s="18"/>
      <c r="N669" s="18"/>
      <c r="O669" s="18"/>
      <c r="S669" s="18"/>
      <c r="T669" s="20"/>
    </row>
    <row r="670" spans="7:20" x14ac:dyDescent="0.2">
      <c r="G670" s="18"/>
      <c r="H670" s="19"/>
      <c r="I670" s="18"/>
      <c r="J670" s="18"/>
      <c r="K670" s="18"/>
      <c r="L670" s="18"/>
      <c r="M670" s="18"/>
      <c r="N670" s="18"/>
      <c r="O670" s="18"/>
      <c r="S670" s="18"/>
      <c r="T670" s="20"/>
    </row>
    <row r="671" spans="7:20" x14ac:dyDescent="0.2">
      <c r="G671" s="18"/>
      <c r="H671" s="19"/>
      <c r="I671" s="18"/>
      <c r="J671" s="18"/>
      <c r="K671" s="18"/>
      <c r="L671" s="18"/>
      <c r="M671" s="18"/>
      <c r="N671" s="18"/>
      <c r="O671" s="18"/>
      <c r="S671" s="18"/>
      <c r="T671" s="20"/>
    </row>
    <row r="672" spans="7:20" x14ac:dyDescent="0.2">
      <c r="G672" s="18"/>
      <c r="H672" s="19"/>
      <c r="I672" s="18"/>
      <c r="J672" s="18"/>
      <c r="K672" s="18"/>
      <c r="L672" s="18"/>
      <c r="M672" s="18"/>
      <c r="N672" s="18"/>
      <c r="O672" s="18"/>
      <c r="S672" s="18"/>
      <c r="T672" s="20"/>
    </row>
    <row r="673" spans="7:20" x14ac:dyDescent="0.2">
      <c r="G673" s="18"/>
      <c r="H673" s="19"/>
      <c r="I673" s="18"/>
      <c r="J673" s="18"/>
      <c r="K673" s="18"/>
      <c r="L673" s="18"/>
      <c r="M673" s="18"/>
      <c r="N673" s="18"/>
      <c r="O673" s="18"/>
      <c r="S673" s="18"/>
      <c r="T673" s="20"/>
    </row>
    <row r="674" spans="7:20" x14ac:dyDescent="0.2">
      <c r="G674" s="18"/>
      <c r="H674" s="19"/>
      <c r="I674" s="18"/>
      <c r="J674" s="18"/>
      <c r="K674" s="18"/>
      <c r="L674" s="18"/>
      <c r="M674" s="18"/>
      <c r="N674" s="18"/>
      <c r="O674" s="18"/>
      <c r="S674" s="18"/>
      <c r="T674" s="20"/>
    </row>
    <row r="675" spans="7:20" x14ac:dyDescent="0.2">
      <c r="G675" s="18"/>
      <c r="H675" s="19"/>
      <c r="I675" s="18"/>
      <c r="J675" s="18"/>
      <c r="K675" s="18"/>
      <c r="L675" s="18"/>
      <c r="M675" s="18"/>
      <c r="N675" s="18"/>
      <c r="O675" s="18"/>
      <c r="S675" s="18"/>
      <c r="T675" s="20"/>
    </row>
    <row r="676" spans="7:20" x14ac:dyDescent="0.2">
      <c r="G676" s="18"/>
      <c r="H676" s="19"/>
      <c r="I676" s="18"/>
      <c r="J676" s="18"/>
      <c r="K676" s="18"/>
      <c r="L676" s="18"/>
      <c r="M676" s="18"/>
      <c r="N676" s="18"/>
      <c r="O676" s="18"/>
      <c r="S676" s="18"/>
      <c r="T676" s="20"/>
    </row>
    <row r="677" spans="7:20" x14ac:dyDescent="0.2">
      <c r="G677" s="18"/>
      <c r="H677" s="19"/>
      <c r="I677" s="18"/>
      <c r="J677" s="18"/>
      <c r="K677" s="18"/>
      <c r="L677" s="18"/>
      <c r="M677" s="18"/>
      <c r="N677" s="18"/>
      <c r="O677" s="18"/>
      <c r="S677" s="18"/>
      <c r="T677" s="20"/>
    </row>
    <row r="678" spans="7:20" x14ac:dyDescent="0.2">
      <c r="G678" s="18"/>
      <c r="H678" s="19"/>
      <c r="I678" s="18"/>
      <c r="J678" s="18"/>
      <c r="K678" s="18"/>
      <c r="L678" s="18"/>
      <c r="M678" s="18"/>
      <c r="N678" s="18"/>
      <c r="O678" s="18"/>
      <c r="S678" s="18"/>
      <c r="T678" s="20"/>
    </row>
    <row r="679" spans="7:20" x14ac:dyDescent="0.2">
      <c r="G679" s="18"/>
      <c r="H679" s="19"/>
      <c r="I679" s="18"/>
      <c r="J679" s="18"/>
      <c r="K679" s="18"/>
      <c r="L679" s="18"/>
      <c r="M679" s="18"/>
      <c r="N679" s="18"/>
      <c r="O679" s="18"/>
      <c r="S679" s="18"/>
      <c r="T679" s="20"/>
    </row>
    <row r="680" spans="7:20" x14ac:dyDescent="0.2">
      <c r="G680" s="18"/>
      <c r="H680" s="19"/>
      <c r="I680" s="18"/>
      <c r="J680" s="18"/>
      <c r="K680" s="18"/>
      <c r="L680" s="18"/>
      <c r="M680" s="18"/>
      <c r="N680" s="18"/>
      <c r="O680" s="18"/>
      <c r="S680" s="18"/>
      <c r="T680" s="20"/>
    </row>
    <row r="681" spans="7:20" x14ac:dyDescent="0.2">
      <c r="G681" s="18"/>
      <c r="H681" s="19"/>
      <c r="I681" s="18"/>
      <c r="J681" s="18"/>
      <c r="K681" s="18"/>
      <c r="L681" s="18"/>
      <c r="M681" s="18"/>
      <c r="N681" s="18"/>
      <c r="O681" s="18"/>
      <c r="S681" s="18"/>
      <c r="T681" s="20"/>
    </row>
    <row r="682" spans="7:20" x14ac:dyDescent="0.2">
      <c r="G682" s="18"/>
      <c r="H682" s="19"/>
      <c r="I682" s="18"/>
      <c r="J682" s="18"/>
      <c r="K682" s="18"/>
      <c r="L682" s="18"/>
      <c r="M682" s="18"/>
      <c r="N682" s="18"/>
      <c r="O682" s="18"/>
      <c r="S682" s="18"/>
      <c r="T682" s="20"/>
    </row>
    <row r="683" spans="7:20" x14ac:dyDescent="0.2">
      <c r="G683" s="18"/>
      <c r="H683" s="19"/>
      <c r="I683" s="18"/>
      <c r="J683" s="18"/>
      <c r="K683" s="18"/>
      <c r="L683" s="18"/>
      <c r="M683" s="18"/>
      <c r="N683" s="18"/>
      <c r="O683" s="18"/>
      <c r="S683" s="18"/>
      <c r="T683" s="20"/>
    </row>
    <row r="684" spans="7:20" x14ac:dyDescent="0.2">
      <c r="G684" s="18"/>
      <c r="H684" s="19"/>
      <c r="I684" s="18"/>
      <c r="J684" s="18"/>
      <c r="K684" s="18"/>
      <c r="L684" s="18"/>
      <c r="M684" s="18"/>
      <c r="N684" s="18"/>
      <c r="O684" s="18"/>
      <c r="S684" s="18"/>
      <c r="T684" s="20"/>
    </row>
    <row r="685" spans="7:20" x14ac:dyDescent="0.2">
      <c r="G685" s="18"/>
      <c r="H685" s="19"/>
      <c r="I685" s="18"/>
      <c r="J685" s="18"/>
      <c r="K685" s="18"/>
      <c r="L685" s="18"/>
      <c r="M685" s="18"/>
      <c r="N685" s="18"/>
      <c r="O685" s="18"/>
      <c r="S685" s="18"/>
      <c r="T685" s="20"/>
    </row>
    <row r="686" spans="7:20" x14ac:dyDescent="0.2">
      <c r="G686" s="18"/>
      <c r="H686" s="19"/>
      <c r="I686" s="18"/>
      <c r="J686" s="18"/>
      <c r="K686" s="18"/>
      <c r="L686" s="18"/>
      <c r="M686" s="18"/>
      <c r="N686" s="18"/>
      <c r="O686" s="18"/>
      <c r="S686" s="18"/>
      <c r="T686" s="20"/>
    </row>
    <row r="687" spans="7:20" x14ac:dyDescent="0.2">
      <c r="G687" s="18"/>
      <c r="H687" s="19"/>
      <c r="I687" s="18"/>
      <c r="J687" s="18"/>
      <c r="K687" s="18"/>
      <c r="L687" s="18"/>
      <c r="M687" s="18"/>
      <c r="N687" s="18"/>
      <c r="O687" s="18"/>
      <c r="S687" s="18"/>
      <c r="T687" s="20"/>
    </row>
    <row r="688" spans="7:20" x14ac:dyDescent="0.2">
      <c r="G688" s="18"/>
      <c r="H688" s="19"/>
      <c r="I688" s="18"/>
      <c r="J688" s="18"/>
      <c r="K688" s="18"/>
      <c r="L688" s="18"/>
      <c r="M688" s="18"/>
      <c r="N688" s="18"/>
      <c r="O688" s="18"/>
      <c r="S688" s="18"/>
      <c r="T688" s="20"/>
    </row>
    <row r="689" spans="7:20" x14ac:dyDescent="0.2">
      <c r="G689" s="18"/>
      <c r="H689" s="19"/>
      <c r="I689" s="18"/>
      <c r="J689" s="18"/>
      <c r="K689" s="18"/>
      <c r="L689" s="18"/>
      <c r="M689" s="18"/>
      <c r="N689" s="18"/>
      <c r="O689" s="18"/>
      <c r="S689" s="18"/>
      <c r="T689" s="20"/>
    </row>
    <row r="690" spans="7:20" x14ac:dyDescent="0.2">
      <c r="G690" s="18"/>
      <c r="H690" s="19"/>
      <c r="I690" s="18"/>
      <c r="J690" s="18"/>
      <c r="K690" s="18"/>
      <c r="L690" s="18"/>
      <c r="M690" s="18"/>
      <c r="N690" s="18"/>
      <c r="O690" s="18"/>
      <c r="S690" s="18"/>
      <c r="T690" s="20"/>
    </row>
    <row r="691" spans="7:20" x14ac:dyDescent="0.2">
      <c r="G691" s="18"/>
      <c r="H691" s="19"/>
      <c r="I691" s="18"/>
      <c r="J691" s="18"/>
      <c r="K691" s="18"/>
      <c r="L691" s="18"/>
      <c r="M691" s="18"/>
      <c r="N691" s="18"/>
      <c r="O691" s="18"/>
      <c r="S691" s="18"/>
      <c r="T691" s="20"/>
    </row>
    <row r="692" spans="7:20" x14ac:dyDescent="0.2">
      <c r="G692" s="18"/>
      <c r="H692" s="19"/>
      <c r="I692" s="18"/>
      <c r="J692" s="18"/>
      <c r="K692" s="18"/>
      <c r="L692" s="18"/>
      <c r="M692" s="18"/>
      <c r="N692" s="18"/>
      <c r="O692" s="18"/>
      <c r="S692" s="18"/>
      <c r="T692" s="20"/>
    </row>
    <row r="693" spans="7:20" x14ac:dyDescent="0.2">
      <c r="G693" s="18"/>
      <c r="H693" s="19"/>
      <c r="I693" s="18"/>
      <c r="J693" s="18"/>
      <c r="K693" s="18"/>
      <c r="L693" s="18"/>
      <c r="M693" s="18"/>
      <c r="N693" s="18"/>
      <c r="O693" s="18"/>
      <c r="S693" s="18"/>
      <c r="T693" s="20"/>
    </row>
    <row r="694" spans="7:20" x14ac:dyDescent="0.2">
      <c r="G694" s="18"/>
      <c r="H694" s="19"/>
      <c r="I694" s="18"/>
      <c r="J694" s="18"/>
      <c r="K694" s="18"/>
      <c r="L694" s="18"/>
      <c r="M694" s="18"/>
      <c r="N694" s="18"/>
      <c r="O694" s="18"/>
      <c r="S694" s="18"/>
      <c r="T694" s="20"/>
    </row>
    <row r="695" spans="7:20" x14ac:dyDescent="0.2">
      <c r="G695" s="18"/>
      <c r="H695" s="19"/>
      <c r="I695" s="18"/>
      <c r="J695" s="18"/>
      <c r="K695" s="18"/>
      <c r="L695" s="18"/>
      <c r="M695" s="18"/>
      <c r="N695" s="18"/>
      <c r="O695" s="18"/>
      <c r="S695" s="18"/>
      <c r="T695" s="20"/>
    </row>
    <row r="696" spans="7:20" x14ac:dyDescent="0.2">
      <c r="G696" s="18"/>
      <c r="H696" s="19"/>
      <c r="I696" s="18"/>
      <c r="J696" s="18"/>
      <c r="K696" s="18"/>
      <c r="L696" s="18"/>
      <c r="M696" s="18"/>
      <c r="N696" s="18"/>
      <c r="O696" s="18"/>
      <c r="S696" s="18"/>
      <c r="T696" s="20"/>
    </row>
    <row r="697" spans="7:20" x14ac:dyDescent="0.2">
      <c r="G697" s="18"/>
      <c r="H697" s="19"/>
      <c r="I697" s="18"/>
      <c r="J697" s="18"/>
      <c r="K697" s="18"/>
      <c r="L697" s="18"/>
      <c r="M697" s="18"/>
      <c r="N697" s="18"/>
      <c r="O697" s="18"/>
      <c r="S697" s="18"/>
      <c r="T697" s="20"/>
    </row>
    <row r="698" spans="7:20" x14ac:dyDescent="0.2">
      <c r="G698" s="18"/>
      <c r="H698" s="19"/>
      <c r="I698" s="18"/>
      <c r="J698" s="18"/>
      <c r="K698" s="18"/>
      <c r="L698" s="18"/>
      <c r="M698" s="18"/>
      <c r="N698" s="18"/>
      <c r="O698" s="18"/>
      <c r="S698" s="18"/>
      <c r="T698" s="20"/>
    </row>
    <row r="699" spans="7:20" x14ac:dyDescent="0.2">
      <c r="G699" s="18"/>
      <c r="H699" s="19"/>
      <c r="I699" s="18"/>
      <c r="J699" s="18"/>
      <c r="K699" s="18"/>
      <c r="L699" s="18"/>
      <c r="M699" s="18"/>
      <c r="N699" s="18"/>
      <c r="O699" s="18"/>
      <c r="S699" s="18"/>
      <c r="T699" s="20"/>
    </row>
    <row r="700" spans="7:20" x14ac:dyDescent="0.2">
      <c r="G700" s="18"/>
      <c r="H700" s="19"/>
      <c r="I700" s="18"/>
      <c r="J700" s="18"/>
      <c r="K700" s="18"/>
      <c r="L700" s="18"/>
      <c r="M700" s="18"/>
      <c r="N700" s="18"/>
      <c r="O700" s="18"/>
      <c r="S700" s="18"/>
      <c r="T700" s="20"/>
    </row>
    <row r="701" spans="7:20" x14ac:dyDescent="0.2">
      <c r="G701" s="18"/>
      <c r="H701" s="19"/>
      <c r="I701" s="18"/>
      <c r="J701" s="18"/>
      <c r="K701" s="18"/>
      <c r="L701" s="18"/>
      <c r="M701" s="18"/>
      <c r="N701" s="18"/>
      <c r="O701" s="18"/>
      <c r="S701" s="18"/>
      <c r="T701" s="20"/>
    </row>
    <row r="702" spans="7:20" x14ac:dyDescent="0.2">
      <c r="G702" s="18"/>
      <c r="H702" s="19"/>
      <c r="I702" s="18"/>
      <c r="J702" s="18"/>
      <c r="K702" s="18"/>
      <c r="L702" s="18"/>
      <c r="M702" s="18"/>
      <c r="N702" s="18"/>
      <c r="O702" s="18"/>
      <c r="S702" s="18"/>
      <c r="T702" s="20"/>
    </row>
    <row r="703" spans="7:20" x14ac:dyDescent="0.2">
      <c r="G703" s="18"/>
      <c r="H703" s="19"/>
      <c r="I703" s="18"/>
      <c r="J703" s="18"/>
      <c r="K703" s="18"/>
      <c r="L703" s="18"/>
      <c r="M703" s="18"/>
      <c r="N703" s="18"/>
      <c r="O703" s="18"/>
      <c r="S703" s="18"/>
      <c r="T703" s="20"/>
    </row>
    <row r="704" spans="7:20" x14ac:dyDescent="0.2">
      <c r="G704" s="18"/>
      <c r="H704" s="19"/>
      <c r="I704" s="18"/>
      <c r="J704" s="18"/>
      <c r="K704" s="18"/>
      <c r="L704" s="18"/>
      <c r="M704" s="18"/>
      <c r="N704" s="18"/>
      <c r="O704" s="18"/>
      <c r="S704" s="18"/>
      <c r="T704" s="20"/>
    </row>
    <row r="705" spans="7:20" x14ac:dyDescent="0.2">
      <c r="G705" s="18"/>
      <c r="H705" s="19"/>
      <c r="I705" s="18"/>
      <c r="J705" s="18"/>
      <c r="K705" s="18"/>
      <c r="L705" s="18"/>
      <c r="M705" s="18"/>
      <c r="N705" s="18"/>
      <c r="O705" s="18"/>
      <c r="S705" s="18"/>
      <c r="T705" s="20"/>
    </row>
    <row r="706" spans="7:20" x14ac:dyDescent="0.2">
      <c r="G706" s="18"/>
      <c r="H706" s="19"/>
      <c r="I706" s="18"/>
      <c r="J706" s="18"/>
      <c r="K706" s="18"/>
      <c r="L706" s="18"/>
      <c r="M706" s="18"/>
      <c r="N706" s="18"/>
      <c r="O706" s="18"/>
      <c r="S706" s="18"/>
      <c r="T706" s="20"/>
    </row>
    <row r="707" spans="7:20" x14ac:dyDescent="0.2">
      <c r="G707" s="18"/>
      <c r="H707" s="19"/>
      <c r="I707" s="18"/>
      <c r="J707" s="18"/>
      <c r="K707" s="18"/>
      <c r="L707" s="18"/>
      <c r="M707" s="18"/>
      <c r="N707" s="18"/>
      <c r="O707" s="18"/>
      <c r="S707" s="18"/>
      <c r="T707" s="20"/>
    </row>
    <row r="708" spans="7:20" x14ac:dyDescent="0.2">
      <c r="G708" s="18"/>
      <c r="H708" s="19"/>
      <c r="I708" s="18"/>
      <c r="J708" s="18"/>
      <c r="K708" s="18"/>
      <c r="L708" s="18"/>
      <c r="M708" s="18"/>
      <c r="N708" s="18"/>
      <c r="O708" s="18"/>
      <c r="S708" s="18"/>
      <c r="T708" s="20"/>
    </row>
    <row r="709" spans="7:20" x14ac:dyDescent="0.2">
      <c r="G709" s="18"/>
      <c r="H709" s="19"/>
      <c r="I709" s="18"/>
      <c r="J709" s="18"/>
      <c r="K709" s="18"/>
      <c r="L709" s="18"/>
      <c r="M709" s="18"/>
      <c r="N709" s="18"/>
      <c r="O709" s="18"/>
      <c r="S709" s="18"/>
      <c r="T709" s="20"/>
    </row>
    <row r="710" spans="7:20" x14ac:dyDescent="0.2">
      <c r="G710" s="18"/>
      <c r="H710" s="19"/>
      <c r="I710" s="18"/>
      <c r="J710" s="18"/>
      <c r="K710" s="18"/>
      <c r="L710" s="18"/>
      <c r="M710" s="18"/>
      <c r="N710" s="18"/>
      <c r="O710" s="18"/>
      <c r="S710" s="18"/>
      <c r="T710" s="20"/>
    </row>
    <row r="711" spans="7:20" x14ac:dyDescent="0.2">
      <c r="G711" s="18"/>
      <c r="H711" s="19"/>
      <c r="I711" s="18"/>
      <c r="J711" s="18"/>
      <c r="K711" s="18"/>
      <c r="L711" s="18"/>
      <c r="M711" s="18"/>
      <c r="N711" s="18"/>
      <c r="O711" s="18"/>
      <c r="S711" s="18"/>
      <c r="T711" s="20"/>
    </row>
    <row r="712" spans="7:20" x14ac:dyDescent="0.2">
      <c r="G712" s="18"/>
      <c r="H712" s="19"/>
      <c r="I712" s="18"/>
      <c r="J712" s="18"/>
      <c r="K712" s="18"/>
      <c r="L712" s="18"/>
      <c r="M712" s="18"/>
      <c r="N712" s="18"/>
      <c r="O712" s="18"/>
      <c r="S712" s="18"/>
      <c r="T712" s="20"/>
    </row>
    <row r="713" spans="7:20" x14ac:dyDescent="0.2">
      <c r="G713" s="18"/>
      <c r="H713" s="19"/>
      <c r="I713" s="18"/>
      <c r="J713" s="18"/>
      <c r="K713" s="18"/>
      <c r="L713" s="18"/>
      <c r="M713" s="18"/>
      <c r="N713" s="18"/>
      <c r="O713" s="18"/>
      <c r="S713" s="18"/>
      <c r="T713" s="20"/>
    </row>
    <row r="714" spans="7:20" x14ac:dyDescent="0.2">
      <c r="G714" s="18"/>
      <c r="H714" s="19"/>
      <c r="I714" s="18"/>
      <c r="J714" s="18"/>
      <c r="K714" s="18"/>
      <c r="L714" s="18"/>
      <c r="M714" s="18"/>
      <c r="N714" s="18"/>
      <c r="O714" s="18"/>
      <c r="S714" s="18"/>
      <c r="T714" s="20"/>
    </row>
    <row r="715" spans="7:20" x14ac:dyDescent="0.2">
      <c r="G715" s="18"/>
      <c r="H715" s="19"/>
      <c r="I715" s="18"/>
      <c r="J715" s="18"/>
      <c r="K715" s="18"/>
      <c r="L715" s="18"/>
      <c r="M715" s="18"/>
      <c r="N715" s="18"/>
      <c r="O715" s="18"/>
      <c r="S715" s="18"/>
      <c r="T715" s="20"/>
    </row>
    <row r="716" spans="7:20" x14ac:dyDescent="0.2">
      <c r="G716" s="18"/>
      <c r="H716" s="19"/>
      <c r="I716" s="18"/>
      <c r="J716" s="18"/>
      <c r="K716" s="18"/>
      <c r="L716" s="18"/>
      <c r="M716" s="18"/>
      <c r="N716" s="18"/>
      <c r="O716" s="18"/>
      <c r="S716" s="18"/>
      <c r="T716" s="20"/>
    </row>
    <row r="717" spans="7:20" x14ac:dyDescent="0.2">
      <c r="G717" s="18"/>
      <c r="H717" s="19"/>
      <c r="I717" s="18"/>
      <c r="J717" s="18"/>
      <c r="K717" s="18"/>
      <c r="L717" s="18"/>
      <c r="M717" s="18"/>
      <c r="N717" s="18"/>
      <c r="O717" s="18"/>
      <c r="S717" s="18"/>
      <c r="T717" s="20"/>
    </row>
    <row r="718" spans="7:20" x14ac:dyDescent="0.2">
      <c r="G718" s="18"/>
      <c r="H718" s="19"/>
      <c r="I718" s="18"/>
      <c r="J718" s="18"/>
      <c r="K718" s="18"/>
      <c r="L718" s="18"/>
      <c r="M718" s="18"/>
      <c r="N718" s="18"/>
      <c r="O718" s="18"/>
      <c r="S718" s="18"/>
      <c r="T718" s="20"/>
    </row>
    <row r="719" spans="7:20" x14ac:dyDescent="0.2">
      <c r="G719" s="18"/>
      <c r="H719" s="19"/>
      <c r="I719" s="18"/>
      <c r="J719" s="18"/>
      <c r="K719" s="18"/>
      <c r="L719" s="18"/>
      <c r="M719" s="18"/>
      <c r="N719" s="18"/>
      <c r="O719" s="18"/>
      <c r="S719" s="18"/>
      <c r="T719" s="20"/>
    </row>
    <row r="720" spans="7:20" x14ac:dyDescent="0.2">
      <c r="G720" s="18"/>
      <c r="H720" s="19"/>
      <c r="I720" s="18"/>
      <c r="J720" s="18"/>
      <c r="K720" s="18"/>
      <c r="L720" s="18"/>
      <c r="M720" s="18"/>
      <c r="N720" s="18"/>
      <c r="O720" s="18"/>
      <c r="S720" s="18"/>
      <c r="T720" s="20"/>
    </row>
    <row r="721" spans="7:20" x14ac:dyDescent="0.2">
      <c r="G721" s="18"/>
      <c r="H721" s="19"/>
      <c r="I721" s="18"/>
      <c r="J721" s="18"/>
      <c r="K721" s="18"/>
      <c r="L721" s="18"/>
      <c r="M721" s="18"/>
      <c r="N721" s="18"/>
      <c r="O721" s="18"/>
      <c r="S721" s="18"/>
      <c r="T721" s="20"/>
    </row>
    <row r="722" spans="7:20" x14ac:dyDescent="0.2">
      <c r="G722" s="18"/>
      <c r="H722" s="19"/>
      <c r="I722" s="18"/>
      <c r="J722" s="18"/>
      <c r="K722" s="18"/>
      <c r="L722" s="18"/>
      <c r="M722" s="18"/>
      <c r="N722" s="18"/>
      <c r="O722" s="18"/>
      <c r="S722" s="18"/>
      <c r="T722" s="20"/>
    </row>
    <row r="723" spans="7:20" x14ac:dyDescent="0.2">
      <c r="G723" s="18"/>
      <c r="H723" s="19"/>
      <c r="I723" s="18"/>
      <c r="J723" s="18"/>
      <c r="K723" s="18"/>
      <c r="L723" s="18"/>
      <c r="M723" s="18"/>
      <c r="N723" s="18"/>
      <c r="O723" s="18"/>
      <c r="S723" s="18"/>
      <c r="T723" s="20"/>
    </row>
    <row r="724" spans="7:20" x14ac:dyDescent="0.2">
      <c r="G724" s="18"/>
      <c r="H724" s="19"/>
      <c r="I724" s="18"/>
      <c r="J724" s="18"/>
      <c r="K724" s="18"/>
      <c r="L724" s="18"/>
      <c r="M724" s="18"/>
      <c r="N724" s="18"/>
      <c r="O724" s="18"/>
      <c r="S724" s="18"/>
      <c r="T724" s="20"/>
    </row>
    <row r="725" spans="7:20" x14ac:dyDescent="0.2">
      <c r="G725" s="18"/>
      <c r="H725" s="19"/>
      <c r="I725" s="18"/>
      <c r="J725" s="18"/>
      <c r="K725" s="18"/>
      <c r="L725" s="18"/>
      <c r="M725" s="18"/>
      <c r="N725" s="18"/>
      <c r="O725" s="18"/>
      <c r="S725" s="18"/>
      <c r="T725" s="20"/>
    </row>
    <row r="726" spans="7:20" x14ac:dyDescent="0.2">
      <c r="G726" s="18"/>
      <c r="H726" s="19"/>
      <c r="I726" s="18"/>
      <c r="J726" s="18"/>
      <c r="K726" s="18"/>
      <c r="L726" s="18"/>
      <c r="M726" s="18"/>
      <c r="N726" s="18"/>
      <c r="O726" s="18"/>
      <c r="S726" s="18"/>
      <c r="T726" s="20"/>
    </row>
    <row r="727" spans="7:20" x14ac:dyDescent="0.2">
      <c r="G727" s="18"/>
      <c r="H727" s="19"/>
      <c r="I727" s="18"/>
      <c r="J727" s="18"/>
      <c r="K727" s="18"/>
      <c r="L727" s="18"/>
      <c r="M727" s="18"/>
      <c r="N727" s="18"/>
      <c r="O727" s="18"/>
      <c r="S727" s="18"/>
      <c r="T727" s="20"/>
    </row>
    <row r="728" spans="7:20" x14ac:dyDescent="0.2">
      <c r="G728" s="18"/>
      <c r="H728" s="19"/>
      <c r="I728" s="18"/>
      <c r="J728" s="18"/>
      <c r="K728" s="18"/>
      <c r="L728" s="18"/>
      <c r="M728" s="18"/>
      <c r="N728" s="18"/>
      <c r="O728" s="18"/>
      <c r="S728" s="18"/>
      <c r="T728" s="20"/>
    </row>
    <row r="729" spans="7:20" x14ac:dyDescent="0.2">
      <c r="G729" s="18"/>
      <c r="H729" s="19"/>
      <c r="I729" s="18"/>
      <c r="J729" s="18"/>
      <c r="K729" s="18"/>
      <c r="L729" s="18"/>
      <c r="M729" s="18"/>
      <c r="N729" s="18"/>
      <c r="O729" s="18"/>
      <c r="S729" s="18"/>
      <c r="T729" s="20"/>
    </row>
    <row r="730" spans="7:20" x14ac:dyDescent="0.2">
      <c r="G730" s="18"/>
      <c r="H730" s="19"/>
      <c r="I730" s="18"/>
      <c r="J730" s="18"/>
      <c r="K730" s="18"/>
      <c r="L730" s="18"/>
      <c r="M730" s="18"/>
      <c r="N730" s="18"/>
      <c r="O730" s="18"/>
      <c r="S730" s="18"/>
      <c r="T730" s="20"/>
    </row>
    <row r="731" spans="7:20" x14ac:dyDescent="0.2">
      <c r="G731" s="18"/>
      <c r="H731" s="19"/>
      <c r="I731" s="18"/>
      <c r="J731" s="18"/>
      <c r="K731" s="18"/>
      <c r="L731" s="18"/>
      <c r="M731" s="18"/>
      <c r="N731" s="18"/>
      <c r="O731" s="18"/>
      <c r="S731" s="18"/>
      <c r="T731" s="20"/>
    </row>
    <row r="732" spans="7:20" x14ac:dyDescent="0.2">
      <c r="G732" s="18"/>
      <c r="H732" s="19"/>
      <c r="I732" s="18"/>
      <c r="J732" s="18"/>
      <c r="K732" s="18"/>
      <c r="L732" s="18"/>
      <c r="M732" s="18"/>
      <c r="N732" s="18"/>
      <c r="O732" s="18"/>
      <c r="S732" s="18"/>
      <c r="T732" s="20"/>
    </row>
    <row r="733" spans="7:20" x14ac:dyDescent="0.2">
      <c r="G733" s="18"/>
      <c r="H733" s="19"/>
      <c r="I733" s="18"/>
      <c r="J733" s="18"/>
      <c r="K733" s="18"/>
      <c r="L733" s="18"/>
      <c r="M733" s="18"/>
      <c r="N733" s="18"/>
      <c r="O733" s="18"/>
      <c r="S733" s="18"/>
      <c r="T733" s="20"/>
    </row>
    <row r="734" spans="7:20" x14ac:dyDescent="0.2">
      <c r="G734" s="18"/>
      <c r="H734" s="19"/>
      <c r="I734" s="18"/>
      <c r="J734" s="18"/>
      <c r="K734" s="18"/>
      <c r="L734" s="18"/>
      <c r="M734" s="18"/>
      <c r="N734" s="18"/>
      <c r="O734" s="18"/>
      <c r="S734" s="18"/>
      <c r="T734" s="20"/>
    </row>
    <row r="735" spans="7:20" x14ac:dyDescent="0.2">
      <c r="G735" s="18"/>
      <c r="H735" s="19"/>
      <c r="I735" s="18"/>
      <c r="J735" s="18"/>
      <c r="K735" s="18"/>
      <c r="L735" s="18"/>
      <c r="M735" s="18"/>
      <c r="N735" s="18"/>
      <c r="O735" s="18"/>
      <c r="S735" s="18"/>
      <c r="T735" s="20"/>
    </row>
    <row r="736" spans="7:20" x14ac:dyDescent="0.2">
      <c r="G736" s="18"/>
      <c r="H736" s="19"/>
      <c r="I736" s="18"/>
      <c r="J736" s="18"/>
      <c r="K736" s="18"/>
      <c r="L736" s="18"/>
      <c r="M736" s="18"/>
      <c r="N736" s="18"/>
      <c r="O736" s="18"/>
      <c r="S736" s="18"/>
      <c r="T736" s="20"/>
    </row>
    <row r="737" spans="7:20" x14ac:dyDescent="0.2">
      <c r="G737" s="18"/>
      <c r="H737" s="19"/>
      <c r="I737" s="18"/>
      <c r="J737" s="18"/>
      <c r="K737" s="18"/>
      <c r="L737" s="18"/>
      <c r="M737" s="18"/>
      <c r="N737" s="18"/>
      <c r="O737" s="18"/>
      <c r="S737" s="18"/>
      <c r="T737" s="20"/>
    </row>
    <row r="738" spans="7:20" x14ac:dyDescent="0.2">
      <c r="G738" s="18"/>
      <c r="H738" s="19"/>
      <c r="I738" s="18"/>
      <c r="J738" s="18"/>
      <c r="K738" s="18"/>
      <c r="L738" s="18"/>
      <c r="M738" s="18"/>
      <c r="N738" s="18"/>
      <c r="O738" s="18"/>
      <c r="S738" s="18"/>
      <c r="T738" s="20"/>
    </row>
    <row r="739" spans="7:20" x14ac:dyDescent="0.2">
      <c r="G739" s="18"/>
      <c r="H739" s="19"/>
      <c r="I739" s="18"/>
      <c r="J739" s="18"/>
      <c r="K739" s="18"/>
      <c r="L739" s="18"/>
      <c r="M739" s="18"/>
      <c r="N739" s="18"/>
      <c r="O739" s="18"/>
      <c r="S739" s="18"/>
      <c r="T739" s="20"/>
    </row>
    <row r="740" spans="7:20" x14ac:dyDescent="0.2">
      <c r="G740" s="18"/>
      <c r="H740" s="19"/>
      <c r="I740" s="18"/>
      <c r="J740" s="18"/>
      <c r="K740" s="18"/>
      <c r="L740" s="18"/>
      <c r="M740" s="18"/>
      <c r="N740" s="18"/>
      <c r="O740" s="18"/>
      <c r="S740" s="18"/>
      <c r="T740" s="20"/>
    </row>
    <row r="741" spans="7:20" x14ac:dyDescent="0.2">
      <c r="G741" s="18"/>
      <c r="H741" s="19"/>
      <c r="I741" s="18"/>
      <c r="J741" s="18"/>
      <c r="K741" s="18"/>
      <c r="L741" s="18"/>
      <c r="M741" s="18"/>
      <c r="N741" s="18"/>
      <c r="O741" s="18"/>
      <c r="S741" s="18"/>
      <c r="T741" s="20"/>
    </row>
    <row r="742" spans="7:20" x14ac:dyDescent="0.2">
      <c r="G742" s="18"/>
      <c r="H742" s="19"/>
      <c r="I742" s="18"/>
      <c r="J742" s="18"/>
      <c r="K742" s="18"/>
      <c r="L742" s="18"/>
      <c r="M742" s="18"/>
      <c r="N742" s="18"/>
      <c r="O742" s="18"/>
      <c r="S742" s="18"/>
      <c r="T742" s="20"/>
    </row>
    <row r="743" spans="7:20" x14ac:dyDescent="0.2">
      <c r="G743" s="18"/>
      <c r="H743" s="19"/>
      <c r="I743" s="18"/>
      <c r="J743" s="18"/>
      <c r="K743" s="18"/>
      <c r="L743" s="18"/>
      <c r="M743" s="18"/>
      <c r="N743" s="18"/>
      <c r="O743" s="18"/>
      <c r="S743" s="18"/>
      <c r="T743" s="20"/>
    </row>
    <row r="744" spans="7:20" x14ac:dyDescent="0.2">
      <c r="G744" s="18"/>
      <c r="H744" s="19"/>
      <c r="I744" s="18"/>
      <c r="J744" s="18"/>
      <c r="K744" s="18"/>
      <c r="L744" s="18"/>
      <c r="M744" s="18"/>
      <c r="N744" s="18"/>
      <c r="O744" s="18"/>
      <c r="S744" s="18"/>
      <c r="T744" s="20"/>
    </row>
    <row r="745" spans="7:20" x14ac:dyDescent="0.2">
      <c r="G745" s="18"/>
      <c r="H745" s="19"/>
      <c r="I745" s="18"/>
      <c r="J745" s="18"/>
      <c r="K745" s="18"/>
      <c r="L745" s="18"/>
      <c r="M745" s="18"/>
      <c r="N745" s="18"/>
      <c r="O745" s="18"/>
      <c r="S745" s="18"/>
      <c r="T745" s="20"/>
    </row>
    <row r="746" spans="7:20" x14ac:dyDescent="0.2">
      <c r="G746" s="18"/>
      <c r="H746" s="19"/>
      <c r="I746" s="18"/>
      <c r="J746" s="18"/>
      <c r="K746" s="18"/>
      <c r="L746" s="18"/>
      <c r="M746" s="18"/>
      <c r="N746" s="18"/>
      <c r="O746" s="18"/>
      <c r="S746" s="18"/>
      <c r="T746" s="20"/>
    </row>
    <row r="747" spans="7:20" x14ac:dyDescent="0.2">
      <c r="G747" s="18"/>
      <c r="H747" s="19"/>
      <c r="I747" s="18"/>
      <c r="J747" s="18"/>
      <c r="K747" s="18"/>
      <c r="L747" s="18"/>
      <c r="M747" s="18"/>
      <c r="N747" s="18"/>
      <c r="O747" s="18"/>
      <c r="S747" s="18"/>
      <c r="T747" s="20"/>
    </row>
    <row r="748" spans="7:20" x14ac:dyDescent="0.2">
      <c r="G748" s="18"/>
      <c r="H748" s="19"/>
      <c r="I748" s="18"/>
      <c r="J748" s="18"/>
      <c r="K748" s="18"/>
      <c r="L748" s="18"/>
      <c r="M748" s="18"/>
      <c r="N748" s="18"/>
      <c r="O748" s="18"/>
      <c r="S748" s="18"/>
      <c r="T748" s="20"/>
    </row>
    <row r="749" spans="7:20" x14ac:dyDescent="0.2">
      <c r="G749" s="18"/>
      <c r="H749" s="19"/>
      <c r="I749" s="18"/>
      <c r="J749" s="18"/>
      <c r="K749" s="18"/>
      <c r="L749" s="18"/>
      <c r="M749" s="18"/>
      <c r="N749" s="18"/>
      <c r="O749" s="18"/>
      <c r="S749" s="18"/>
      <c r="T749" s="20"/>
    </row>
    <row r="750" spans="7:20" x14ac:dyDescent="0.2">
      <c r="G750" s="18"/>
      <c r="H750" s="19"/>
      <c r="I750" s="18"/>
      <c r="J750" s="18"/>
      <c r="K750" s="18"/>
      <c r="L750" s="18"/>
      <c r="M750" s="18"/>
      <c r="N750" s="18"/>
      <c r="O750" s="18"/>
      <c r="S750" s="18"/>
      <c r="T750" s="20"/>
    </row>
    <row r="751" spans="7:20" x14ac:dyDescent="0.2">
      <c r="G751" s="18"/>
      <c r="H751" s="19"/>
      <c r="I751" s="18"/>
      <c r="J751" s="18"/>
      <c r="K751" s="18"/>
      <c r="L751" s="18"/>
      <c r="M751" s="18"/>
      <c r="N751" s="18"/>
      <c r="O751" s="18"/>
      <c r="S751" s="18"/>
      <c r="T751" s="20"/>
    </row>
    <row r="752" spans="7:20" x14ac:dyDescent="0.2">
      <c r="G752" s="18"/>
      <c r="H752" s="19"/>
      <c r="I752" s="18"/>
      <c r="J752" s="18"/>
      <c r="K752" s="18"/>
      <c r="L752" s="18"/>
      <c r="M752" s="18"/>
      <c r="N752" s="18"/>
      <c r="O752" s="18"/>
      <c r="S752" s="18"/>
      <c r="T752" s="20"/>
    </row>
    <row r="753" spans="7:20" x14ac:dyDescent="0.2">
      <c r="G753" s="18"/>
      <c r="H753" s="19"/>
      <c r="I753" s="18"/>
      <c r="J753" s="18"/>
      <c r="K753" s="18"/>
      <c r="L753" s="18"/>
      <c r="M753" s="18"/>
      <c r="N753" s="18"/>
      <c r="O753" s="18"/>
      <c r="S753" s="18"/>
      <c r="T753" s="20"/>
    </row>
    <row r="754" spans="7:20" x14ac:dyDescent="0.2">
      <c r="G754" s="18"/>
      <c r="H754" s="19"/>
      <c r="I754" s="18"/>
      <c r="J754" s="18"/>
      <c r="K754" s="18"/>
      <c r="L754" s="18"/>
      <c r="M754" s="18"/>
      <c r="N754" s="18"/>
      <c r="O754" s="18"/>
      <c r="S754" s="18"/>
      <c r="T754" s="20"/>
    </row>
    <row r="755" spans="7:20" x14ac:dyDescent="0.2">
      <c r="G755" s="18"/>
      <c r="H755" s="19"/>
      <c r="I755" s="18"/>
      <c r="J755" s="18"/>
      <c r="K755" s="18"/>
      <c r="L755" s="18"/>
      <c r="M755" s="18"/>
      <c r="N755" s="18"/>
      <c r="O755" s="18"/>
      <c r="S755" s="18"/>
      <c r="T755" s="20"/>
    </row>
    <row r="756" spans="7:20" x14ac:dyDescent="0.2">
      <c r="G756" s="18"/>
      <c r="H756" s="19"/>
      <c r="I756" s="18"/>
      <c r="J756" s="18"/>
      <c r="K756" s="18"/>
      <c r="L756" s="18"/>
      <c r="M756" s="18"/>
      <c r="N756" s="18"/>
      <c r="O756" s="18"/>
      <c r="S756" s="18"/>
      <c r="T756" s="20"/>
    </row>
    <row r="757" spans="7:20" x14ac:dyDescent="0.2">
      <c r="G757" s="18"/>
      <c r="H757" s="19"/>
      <c r="I757" s="18"/>
      <c r="J757" s="18"/>
      <c r="K757" s="18"/>
      <c r="L757" s="18"/>
      <c r="M757" s="18"/>
      <c r="N757" s="18"/>
      <c r="O757" s="18"/>
      <c r="S757" s="18"/>
      <c r="T757" s="20"/>
    </row>
    <row r="758" spans="7:20" x14ac:dyDescent="0.2">
      <c r="G758" s="18"/>
      <c r="H758" s="19"/>
      <c r="I758" s="18"/>
      <c r="J758" s="18"/>
      <c r="K758" s="18"/>
      <c r="L758" s="18"/>
      <c r="M758" s="18"/>
      <c r="N758" s="18"/>
      <c r="O758" s="18"/>
      <c r="S758" s="18"/>
      <c r="T758" s="20"/>
    </row>
    <row r="759" spans="7:20" x14ac:dyDescent="0.2">
      <c r="G759" s="18"/>
      <c r="H759" s="19"/>
      <c r="I759" s="18"/>
      <c r="J759" s="18"/>
      <c r="K759" s="18"/>
      <c r="L759" s="18"/>
      <c r="M759" s="18"/>
      <c r="N759" s="18"/>
      <c r="O759" s="18"/>
      <c r="S759" s="18"/>
      <c r="T759" s="20"/>
    </row>
    <row r="760" spans="7:20" x14ac:dyDescent="0.2">
      <c r="G760" s="18"/>
      <c r="H760" s="19"/>
      <c r="I760" s="18"/>
      <c r="J760" s="18"/>
      <c r="K760" s="18"/>
      <c r="L760" s="18"/>
      <c r="M760" s="18"/>
      <c r="N760" s="18"/>
      <c r="O760" s="18"/>
      <c r="S760" s="18"/>
      <c r="T760" s="20"/>
    </row>
    <row r="761" spans="7:20" x14ac:dyDescent="0.2">
      <c r="G761" s="18"/>
      <c r="H761" s="19"/>
      <c r="I761" s="18"/>
      <c r="J761" s="18"/>
      <c r="K761" s="18"/>
      <c r="L761" s="18"/>
      <c r="M761" s="18"/>
      <c r="N761" s="18"/>
      <c r="O761" s="18"/>
      <c r="S761" s="18"/>
      <c r="T761" s="20"/>
    </row>
    <row r="762" spans="7:20" x14ac:dyDescent="0.2">
      <c r="G762" s="18"/>
      <c r="H762" s="19"/>
      <c r="I762" s="18"/>
      <c r="J762" s="18"/>
      <c r="K762" s="18"/>
      <c r="L762" s="18"/>
      <c r="M762" s="18"/>
      <c r="N762" s="18"/>
      <c r="O762" s="18"/>
      <c r="S762" s="18"/>
      <c r="T762" s="20"/>
    </row>
    <row r="763" spans="7:20" x14ac:dyDescent="0.2">
      <c r="G763" s="18"/>
      <c r="H763" s="19"/>
      <c r="I763" s="18"/>
      <c r="J763" s="18"/>
      <c r="K763" s="18"/>
      <c r="L763" s="18"/>
      <c r="M763" s="18"/>
      <c r="N763" s="18"/>
      <c r="O763" s="18"/>
      <c r="S763" s="18"/>
      <c r="T763" s="20"/>
    </row>
    <row r="764" spans="7:20" x14ac:dyDescent="0.2">
      <c r="G764" s="18"/>
      <c r="H764" s="19"/>
      <c r="I764" s="18"/>
      <c r="J764" s="18"/>
      <c r="K764" s="18"/>
      <c r="L764" s="18"/>
      <c r="M764" s="18"/>
      <c r="N764" s="18"/>
      <c r="O764" s="18"/>
      <c r="S764" s="18"/>
      <c r="T764" s="20"/>
    </row>
    <row r="765" spans="7:20" x14ac:dyDescent="0.2">
      <c r="G765" s="18"/>
      <c r="H765" s="19"/>
      <c r="I765" s="18"/>
      <c r="J765" s="18"/>
      <c r="K765" s="18"/>
      <c r="L765" s="18"/>
      <c r="M765" s="18"/>
      <c r="N765" s="18"/>
      <c r="O765" s="18"/>
      <c r="S765" s="18"/>
      <c r="T765" s="20"/>
    </row>
    <row r="766" spans="7:20" x14ac:dyDescent="0.2">
      <c r="G766" s="18"/>
      <c r="H766" s="19"/>
      <c r="I766" s="18"/>
      <c r="J766" s="18"/>
      <c r="K766" s="18"/>
      <c r="L766" s="18"/>
      <c r="M766" s="18"/>
      <c r="N766" s="18"/>
      <c r="O766" s="18"/>
      <c r="S766" s="18"/>
      <c r="T766" s="20"/>
    </row>
    <row r="767" spans="7:20" x14ac:dyDescent="0.2">
      <c r="G767" s="18"/>
      <c r="H767" s="19"/>
      <c r="I767" s="18"/>
      <c r="J767" s="18"/>
      <c r="K767" s="18"/>
      <c r="L767" s="18"/>
      <c r="M767" s="18"/>
      <c r="N767" s="18"/>
      <c r="O767" s="18"/>
      <c r="S767" s="18"/>
      <c r="T767" s="20"/>
    </row>
    <row r="768" spans="7:20" x14ac:dyDescent="0.2">
      <c r="G768" s="18"/>
      <c r="H768" s="19"/>
      <c r="I768" s="18"/>
      <c r="J768" s="18"/>
      <c r="K768" s="18"/>
      <c r="L768" s="18"/>
      <c r="M768" s="18"/>
      <c r="N768" s="18"/>
      <c r="O768" s="18"/>
      <c r="S768" s="18"/>
      <c r="T768" s="20"/>
    </row>
    <row r="769" spans="7:20" x14ac:dyDescent="0.2">
      <c r="G769" s="18"/>
      <c r="H769" s="19"/>
      <c r="I769" s="18"/>
      <c r="J769" s="18"/>
      <c r="K769" s="18"/>
      <c r="L769" s="18"/>
      <c r="M769" s="18"/>
      <c r="N769" s="18"/>
      <c r="O769" s="18"/>
      <c r="S769" s="18"/>
      <c r="T769" s="20"/>
    </row>
    <row r="770" spans="7:20" x14ac:dyDescent="0.2">
      <c r="G770" s="18"/>
      <c r="H770" s="19"/>
      <c r="I770" s="18"/>
      <c r="J770" s="18"/>
      <c r="K770" s="18"/>
      <c r="L770" s="18"/>
      <c r="M770" s="18"/>
      <c r="N770" s="18"/>
      <c r="O770" s="18"/>
      <c r="S770" s="18"/>
      <c r="T770" s="20"/>
    </row>
    <row r="771" spans="7:20" x14ac:dyDescent="0.2">
      <c r="G771" s="18"/>
      <c r="H771" s="19"/>
      <c r="I771" s="18"/>
      <c r="J771" s="18"/>
      <c r="K771" s="18"/>
      <c r="L771" s="18"/>
      <c r="M771" s="18"/>
      <c r="N771" s="18"/>
      <c r="O771" s="18"/>
      <c r="S771" s="18"/>
      <c r="T771" s="20"/>
    </row>
    <row r="772" spans="7:20" x14ac:dyDescent="0.2">
      <c r="G772" s="18"/>
      <c r="H772" s="19"/>
      <c r="I772" s="18"/>
      <c r="J772" s="18"/>
      <c r="K772" s="18"/>
      <c r="L772" s="18"/>
      <c r="M772" s="18"/>
      <c r="N772" s="18"/>
      <c r="O772" s="18"/>
      <c r="S772" s="18"/>
      <c r="T772" s="20"/>
    </row>
    <row r="773" spans="7:20" x14ac:dyDescent="0.2">
      <c r="G773" s="18"/>
      <c r="H773" s="19"/>
      <c r="I773" s="18"/>
      <c r="J773" s="18"/>
      <c r="K773" s="18"/>
      <c r="L773" s="18"/>
      <c r="M773" s="18"/>
      <c r="N773" s="18"/>
      <c r="O773" s="18"/>
      <c r="S773" s="18"/>
      <c r="T773" s="20"/>
    </row>
    <row r="774" spans="7:20" x14ac:dyDescent="0.2">
      <c r="G774" s="18"/>
      <c r="H774" s="19"/>
      <c r="I774" s="18"/>
      <c r="J774" s="18"/>
      <c r="K774" s="18"/>
      <c r="L774" s="18"/>
      <c r="M774" s="18"/>
      <c r="N774" s="18"/>
      <c r="O774" s="18"/>
      <c r="S774" s="18"/>
      <c r="T774" s="20"/>
    </row>
    <row r="775" spans="7:20" x14ac:dyDescent="0.2">
      <c r="G775" s="18"/>
      <c r="H775" s="19"/>
      <c r="I775" s="18"/>
      <c r="J775" s="18"/>
      <c r="K775" s="18"/>
      <c r="L775" s="18"/>
      <c r="M775" s="18"/>
      <c r="N775" s="18"/>
      <c r="O775" s="18"/>
      <c r="S775" s="18"/>
      <c r="T775" s="20"/>
    </row>
    <row r="776" spans="7:20" x14ac:dyDescent="0.2">
      <c r="G776" s="18"/>
      <c r="H776" s="19"/>
      <c r="I776" s="18"/>
      <c r="J776" s="18"/>
      <c r="K776" s="18"/>
      <c r="L776" s="18"/>
      <c r="M776" s="18"/>
      <c r="N776" s="18"/>
      <c r="O776" s="18"/>
      <c r="S776" s="18"/>
      <c r="T776" s="20"/>
    </row>
    <row r="777" spans="7:20" x14ac:dyDescent="0.2">
      <c r="G777" s="18"/>
      <c r="H777" s="19"/>
      <c r="I777" s="18"/>
      <c r="J777" s="18"/>
      <c r="K777" s="18"/>
      <c r="L777" s="18"/>
      <c r="M777" s="18"/>
      <c r="N777" s="18"/>
      <c r="O777" s="18"/>
      <c r="S777" s="18"/>
      <c r="T777" s="20"/>
    </row>
    <row r="778" spans="7:20" x14ac:dyDescent="0.2">
      <c r="G778" s="18"/>
      <c r="H778" s="19"/>
      <c r="I778" s="18"/>
      <c r="J778" s="18"/>
      <c r="K778" s="18"/>
      <c r="L778" s="18"/>
      <c r="M778" s="18"/>
      <c r="N778" s="18"/>
      <c r="O778" s="18"/>
      <c r="S778" s="18"/>
      <c r="T778" s="20"/>
    </row>
    <row r="779" spans="7:20" x14ac:dyDescent="0.2">
      <c r="G779" s="18"/>
      <c r="H779" s="19"/>
      <c r="I779" s="18"/>
      <c r="J779" s="18"/>
      <c r="K779" s="18"/>
      <c r="L779" s="18"/>
      <c r="M779" s="18"/>
      <c r="N779" s="18"/>
      <c r="O779" s="18"/>
      <c r="S779" s="18"/>
      <c r="T779" s="20"/>
    </row>
    <row r="780" spans="7:20" x14ac:dyDescent="0.2">
      <c r="G780" s="18"/>
      <c r="H780" s="19"/>
      <c r="I780" s="18"/>
      <c r="J780" s="18"/>
      <c r="K780" s="18"/>
      <c r="L780" s="18"/>
      <c r="M780" s="18"/>
      <c r="N780" s="18"/>
      <c r="O780" s="18"/>
      <c r="S780" s="18"/>
      <c r="T780" s="20"/>
    </row>
    <row r="781" spans="7:20" x14ac:dyDescent="0.2">
      <c r="G781" s="18"/>
      <c r="H781" s="19"/>
      <c r="I781" s="18"/>
      <c r="J781" s="18"/>
      <c r="K781" s="18"/>
      <c r="L781" s="18"/>
      <c r="M781" s="18"/>
      <c r="N781" s="18"/>
      <c r="O781" s="18"/>
      <c r="S781" s="18"/>
      <c r="T781" s="20"/>
    </row>
    <row r="782" spans="7:20" x14ac:dyDescent="0.2">
      <c r="G782" s="18"/>
      <c r="H782" s="19"/>
      <c r="I782" s="18"/>
      <c r="J782" s="18"/>
      <c r="K782" s="18"/>
      <c r="L782" s="18"/>
      <c r="M782" s="18"/>
      <c r="N782" s="18"/>
      <c r="O782" s="18"/>
      <c r="S782" s="18"/>
      <c r="T782" s="20"/>
    </row>
    <row r="783" spans="7:20" x14ac:dyDescent="0.2">
      <c r="G783" s="18"/>
      <c r="H783" s="19"/>
      <c r="I783" s="18"/>
      <c r="J783" s="18"/>
      <c r="K783" s="18"/>
      <c r="L783" s="18"/>
      <c r="M783" s="18"/>
      <c r="N783" s="18"/>
      <c r="O783" s="18"/>
      <c r="S783" s="18"/>
      <c r="T783" s="20"/>
    </row>
    <row r="784" spans="7:20" x14ac:dyDescent="0.2">
      <c r="G784" s="18"/>
      <c r="H784" s="19"/>
      <c r="I784" s="18"/>
      <c r="J784" s="18"/>
      <c r="K784" s="18"/>
      <c r="L784" s="18"/>
      <c r="M784" s="18"/>
      <c r="N784" s="18"/>
      <c r="O784" s="18"/>
      <c r="S784" s="18"/>
      <c r="T784" s="20"/>
    </row>
    <row r="785" spans="7:20" x14ac:dyDescent="0.2">
      <c r="G785" s="18"/>
      <c r="H785" s="19"/>
      <c r="I785" s="18"/>
      <c r="J785" s="18"/>
      <c r="K785" s="18"/>
      <c r="L785" s="18"/>
      <c r="M785" s="18"/>
      <c r="N785" s="18"/>
      <c r="O785" s="18"/>
      <c r="S785" s="18"/>
      <c r="T785" s="20"/>
    </row>
    <row r="786" spans="7:20" x14ac:dyDescent="0.2">
      <c r="G786" s="18"/>
      <c r="H786" s="19"/>
      <c r="I786" s="18"/>
      <c r="J786" s="18"/>
      <c r="K786" s="18"/>
      <c r="L786" s="18"/>
      <c r="M786" s="18"/>
      <c r="N786" s="18"/>
      <c r="O786" s="18"/>
      <c r="S786" s="18"/>
      <c r="T786" s="20"/>
    </row>
    <row r="787" spans="7:20" x14ac:dyDescent="0.2">
      <c r="G787" s="18"/>
      <c r="H787" s="19"/>
      <c r="I787" s="18"/>
      <c r="J787" s="18"/>
      <c r="K787" s="18"/>
      <c r="L787" s="18"/>
      <c r="M787" s="18"/>
      <c r="N787" s="18"/>
      <c r="O787" s="18"/>
      <c r="S787" s="18"/>
      <c r="T787" s="20"/>
    </row>
    <row r="788" spans="7:20" x14ac:dyDescent="0.2">
      <c r="G788" s="18"/>
      <c r="H788" s="19"/>
      <c r="I788" s="18"/>
      <c r="J788" s="18"/>
      <c r="K788" s="18"/>
      <c r="L788" s="18"/>
      <c r="M788" s="18"/>
      <c r="N788" s="18"/>
      <c r="O788" s="18"/>
      <c r="S788" s="18"/>
      <c r="T788" s="20"/>
    </row>
    <row r="789" spans="7:20" x14ac:dyDescent="0.2">
      <c r="G789" s="18"/>
      <c r="H789" s="19"/>
      <c r="I789" s="18"/>
      <c r="J789" s="18"/>
      <c r="K789" s="18"/>
      <c r="L789" s="18"/>
      <c r="M789" s="18"/>
      <c r="N789" s="18"/>
      <c r="O789" s="18"/>
      <c r="S789" s="18"/>
      <c r="T789" s="20"/>
    </row>
    <row r="790" spans="7:20" x14ac:dyDescent="0.2">
      <c r="G790" s="18"/>
      <c r="H790" s="19"/>
      <c r="I790" s="18"/>
      <c r="J790" s="18"/>
      <c r="K790" s="18"/>
      <c r="L790" s="18"/>
      <c r="M790" s="18"/>
      <c r="N790" s="18"/>
      <c r="O790" s="18"/>
      <c r="S790" s="18"/>
      <c r="T790" s="20"/>
    </row>
    <row r="791" spans="7:20" x14ac:dyDescent="0.2">
      <c r="G791" s="18"/>
      <c r="H791" s="19"/>
      <c r="I791" s="18"/>
      <c r="J791" s="18"/>
      <c r="K791" s="18"/>
      <c r="L791" s="18"/>
      <c r="M791" s="18"/>
      <c r="N791" s="18"/>
      <c r="O791" s="18"/>
      <c r="S791" s="18"/>
      <c r="T791" s="20"/>
    </row>
    <row r="792" spans="7:20" x14ac:dyDescent="0.2">
      <c r="G792" s="18"/>
      <c r="H792" s="19"/>
      <c r="I792" s="18"/>
      <c r="J792" s="18"/>
      <c r="K792" s="18"/>
      <c r="L792" s="18"/>
      <c r="M792" s="18"/>
      <c r="N792" s="18"/>
      <c r="O792" s="18"/>
      <c r="S792" s="18"/>
      <c r="T792" s="20"/>
    </row>
    <row r="793" spans="7:20" x14ac:dyDescent="0.2">
      <c r="G793" s="18"/>
      <c r="H793" s="19"/>
      <c r="I793" s="18"/>
      <c r="J793" s="18"/>
      <c r="K793" s="18"/>
      <c r="L793" s="18"/>
      <c r="M793" s="18"/>
      <c r="N793" s="18"/>
      <c r="O793" s="18"/>
      <c r="S793" s="18"/>
      <c r="T793" s="20"/>
    </row>
    <row r="794" spans="7:20" x14ac:dyDescent="0.2">
      <c r="G794" s="18"/>
      <c r="H794" s="19"/>
      <c r="I794" s="18"/>
      <c r="J794" s="18"/>
      <c r="K794" s="18"/>
      <c r="L794" s="18"/>
      <c r="M794" s="18"/>
      <c r="N794" s="18"/>
      <c r="O794" s="18"/>
      <c r="S794" s="18"/>
      <c r="T794" s="20"/>
    </row>
    <row r="795" spans="7:20" x14ac:dyDescent="0.2">
      <c r="G795" s="18"/>
      <c r="H795" s="19"/>
      <c r="I795" s="18"/>
      <c r="J795" s="18"/>
      <c r="K795" s="18"/>
      <c r="L795" s="18"/>
      <c r="M795" s="18"/>
      <c r="N795" s="18"/>
      <c r="O795" s="18"/>
      <c r="S795" s="18"/>
      <c r="T795" s="20"/>
    </row>
    <row r="796" spans="7:20" x14ac:dyDescent="0.2">
      <c r="G796" s="18"/>
      <c r="H796" s="19"/>
      <c r="I796" s="18"/>
      <c r="J796" s="18"/>
      <c r="K796" s="18"/>
      <c r="L796" s="18"/>
      <c r="M796" s="18"/>
      <c r="N796" s="18"/>
      <c r="O796" s="18"/>
      <c r="S796" s="18"/>
      <c r="T796" s="20"/>
    </row>
    <row r="797" spans="7:20" x14ac:dyDescent="0.2">
      <c r="G797" s="18"/>
      <c r="H797" s="19"/>
      <c r="I797" s="18"/>
      <c r="J797" s="18"/>
      <c r="K797" s="18"/>
      <c r="L797" s="18"/>
      <c r="M797" s="18"/>
      <c r="N797" s="18"/>
      <c r="O797" s="18"/>
      <c r="S797" s="18"/>
      <c r="T797" s="20"/>
    </row>
    <row r="798" spans="7:20" x14ac:dyDescent="0.2">
      <c r="G798" s="18"/>
      <c r="H798" s="19"/>
      <c r="I798" s="18"/>
      <c r="J798" s="18"/>
      <c r="K798" s="18"/>
      <c r="L798" s="18"/>
      <c r="M798" s="18"/>
      <c r="N798" s="18"/>
      <c r="O798" s="18"/>
      <c r="S798" s="18"/>
      <c r="T798" s="20"/>
    </row>
    <row r="799" spans="7:20" x14ac:dyDescent="0.2">
      <c r="G799" s="18"/>
      <c r="H799" s="19"/>
      <c r="I799" s="18"/>
      <c r="J799" s="18"/>
      <c r="K799" s="18"/>
      <c r="L799" s="18"/>
      <c r="M799" s="18"/>
      <c r="N799" s="18"/>
      <c r="O799" s="18"/>
      <c r="S799" s="18"/>
      <c r="T799" s="20"/>
    </row>
    <row r="800" spans="7:20" x14ac:dyDescent="0.2">
      <c r="G800" s="18"/>
      <c r="H800" s="19"/>
      <c r="I800" s="18"/>
      <c r="J800" s="18"/>
      <c r="K800" s="18"/>
      <c r="L800" s="18"/>
      <c r="M800" s="18"/>
      <c r="N800" s="18"/>
      <c r="O800" s="18"/>
      <c r="S800" s="18"/>
      <c r="T800" s="20"/>
    </row>
    <row r="801" spans="7:20" x14ac:dyDescent="0.2">
      <c r="G801" s="18"/>
      <c r="H801" s="19"/>
      <c r="I801" s="18"/>
      <c r="J801" s="18"/>
      <c r="K801" s="18"/>
      <c r="L801" s="18"/>
      <c r="M801" s="18"/>
      <c r="N801" s="18"/>
      <c r="O801" s="18"/>
      <c r="S801" s="18"/>
      <c r="T801" s="20"/>
    </row>
    <row r="802" spans="7:20" x14ac:dyDescent="0.2">
      <c r="G802" s="18"/>
      <c r="H802" s="19"/>
      <c r="I802" s="18"/>
      <c r="J802" s="18"/>
      <c r="K802" s="18"/>
      <c r="L802" s="18"/>
      <c r="M802" s="18"/>
      <c r="N802" s="18"/>
      <c r="O802" s="18"/>
      <c r="S802" s="18"/>
      <c r="T802" s="20"/>
    </row>
    <row r="803" spans="7:20" x14ac:dyDescent="0.2">
      <c r="G803" s="18"/>
      <c r="H803" s="19"/>
      <c r="I803" s="18"/>
      <c r="J803" s="18"/>
      <c r="K803" s="18"/>
      <c r="L803" s="18"/>
      <c r="M803" s="18"/>
      <c r="N803" s="18"/>
      <c r="O803" s="18"/>
      <c r="S803" s="18"/>
      <c r="T803" s="20"/>
    </row>
    <row r="804" spans="7:20" x14ac:dyDescent="0.2">
      <c r="G804" s="18"/>
      <c r="H804" s="19"/>
      <c r="I804" s="18"/>
      <c r="J804" s="18"/>
      <c r="K804" s="18"/>
      <c r="L804" s="18"/>
      <c r="M804" s="18"/>
      <c r="N804" s="18"/>
      <c r="O804" s="18"/>
      <c r="S804" s="18"/>
      <c r="T804" s="20"/>
    </row>
    <row r="805" spans="7:20" x14ac:dyDescent="0.2">
      <c r="G805" s="18"/>
      <c r="H805" s="19"/>
      <c r="I805" s="18"/>
      <c r="J805" s="18"/>
      <c r="K805" s="18"/>
      <c r="L805" s="18"/>
      <c r="M805" s="18"/>
      <c r="N805" s="18"/>
      <c r="O805" s="18"/>
      <c r="S805" s="18"/>
      <c r="T805" s="20"/>
    </row>
    <row r="806" spans="7:20" x14ac:dyDescent="0.2">
      <c r="G806" s="18"/>
      <c r="H806" s="19"/>
      <c r="I806" s="18"/>
      <c r="J806" s="18"/>
      <c r="K806" s="18"/>
      <c r="L806" s="18"/>
      <c r="M806" s="18"/>
      <c r="N806" s="18"/>
      <c r="O806" s="18"/>
      <c r="S806" s="18"/>
      <c r="T806" s="20"/>
    </row>
    <row r="807" spans="7:20" x14ac:dyDescent="0.2">
      <c r="G807" s="18"/>
      <c r="H807" s="19"/>
      <c r="I807" s="18"/>
      <c r="J807" s="18"/>
      <c r="K807" s="18"/>
      <c r="L807" s="18"/>
      <c r="M807" s="18"/>
      <c r="N807" s="18"/>
      <c r="O807" s="18"/>
      <c r="S807" s="18"/>
      <c r="T807" s="20"/>
    </row>
    <row r="808" spans="7:20" x14ac:dyDescent="0.2">
      <c r="G808" s="18"/>
      <c r="H808" s="19"/>
      <c r="I808" s="18"/>
      <c r="J808" s="18"/>
      <c r="K808" s="18"/>
      <c r="L808" s="18"/>
      <c r="M808" s="18"/>
      <c r="N808" s="18"/>
      <c r="O808" s="18"/>
      <c r="S808" s="18"/>
      <c r="T808" s="20"/>
    </row>
    <row r="809" spans="7:20" x14ac:dyDescent="0.2">
      <c r="G809" s="18"/>
      <c r="H809" s="19"/>
      <c r="I809" s="18"/>
      <c r="J809" s="18"/>
      <c r="K809" s="18"/>
      <c r="L809" s="18"/>
      <c r="M809" s="18"/>
      <c r="N809" s="18"/>
      <c r="O809" s="18"/>
      <c r="S809" s="18"/>
      <c r="T809" s="20"/>
    </row>
    <row r="810" spans="7:20" x14ac:dyDescent="0.2">
      <c r="G810" s="18"/>
      <c r="H810" s="19"/>
      <c r="I810" s="18"/>
      <c r="J810" s="18"/>
      <c r="K810" s="18"/>
      <c r="L810" s="18"/>
      <c r="M810" s="18"/>
      <c r="N810" s="18"/>
      <c r="O810" s="18"/>
      <c r="S810" s="18"/>
      <c r="T810" s="20"/>
    </row>
    <row r="811" spans="7:20" x14ac:dyDescent="0.2">
      <c r="G811" s="18"/>
      <c r="H811" s="19"/>
      <c r="I811" s="18"/>
      <c r="J811" s="18"/>
      <c r="K811" s="18"/>
      <c r="L811" s="18"/>
      <c r="M811" s="18"/>
      <c r="N811" s="18"/>
      <c r="O811" s="18"/>
      <c r="S811" s="18"/>
      <c r="T811" s="20"/>
    </row>
    <row r="812" spans="7:20" x14ac:dyDescent="0.2">
      <c r="G812" s="18"/>
      <c r="H812" s="19"/>
      <c r="I812" s="18"/>
      <c r="J812" s="18"/>
      <c r="K812" s="18"/>
      <c r="L812" s="18"/>
      <c r="M812" s="18"/>
      <c r="N812" s="18"/>
      <c r="O812" s="18"/>
      <c r="S812" s="18"/>
      <c r="T812" s="20"/>
    </row>
    <row r="813" spans="7:20" x14ac:dyDescent="0.2">
      <c r="G813" s="18"/>
      <c r="H813" s="19"/>
      <c r="I813" s="18"/>
      <c r="J813" s="18"/>
      <c r="K813" s="18"/>
      <c r="L813" s="18"/>
      <c r="M813" s="18"/>
      <c r="N813" s="18"/>
      <c r="O813" s="18"/>
      <c r="S813" s="18"/>
      <c r="T813" s="20"/>
    </row>
    <row r="814" spans="7:20" x14ac:dyDescent="0.2">
      <c r="G814" s="18"/>
      <c r="H814" s="19"/>
      <c r="I814" s="18"/>
      <c r="J814" s="18"/>
      <c r="K814" s="18"/>
      <c r="L814" s="18"/>
      <c r="M814" s="18"/>
      <c r="N814" s="18"/>
      <c r="O814" s="18"/>
      <c r="S814" s="18"/>
      <c r="T814" s="20"/>
    </row>
    <row r="815" spans="7:20" x14ac:dyDescent="0.2">
      <c r="G815" s="18"/>
      <c r="H815" s="19"/>
      <c r="I815" s="18"/>
      <c r="J815" s="18"/>
      <c r="K815" s="18"/>
      <c r="L815" s="18"/>
      <c r="M815" s="18"/>
      <c r="N815" s="18"/>
      <c r="O815" s="18"/>
      <c r="S815" s="18"/>
      <c r="T815" s="20"/>
    </row>
    <row r="816" spans="7:20" x14ac:dyDescent="0.2">
      <c r="G816" s="18"/>
      <c r="H816" s="19"/>
      <c r="I816" s="18"/>
      <c r="J816" s="18"/>
      <c r="K816" s="18"/>
      <c r="L816" s="18"/>
      <c r="M816" s="18"/>
      <c r="N816" s="18"/>
      <c r="O816" s="18"/>
      <c r="S816" s="18"/>
      <c r="T816" s="20"/>
    </row>
    <row r="817" spans="7:20" x14ac:dyDescent="0.2">
      <c r="G817" s="18"/>
      <c r="H817" s="19"/>
      <c r="I817" s="18"/>
      <c r="J817" s="18"/>
      <c r="K817" s="18"/>
      <c r="L817" s="18"/>
      <c r="M817" s="18"/>
      <c r="N817" s="18"/>
      <c r="O817" s="18"/>
      <c r="S817" s="18"/>
      <c r="T817" s="20"/>
    </row>
    <row r="818" spans="7:20" x14ac:dyDescent="0.2">
      <c r="G818" s="18"/>
      <c r="H818" s="19"/>
      <c r="I818" s="18"/>
      <c r="J818" s="18"/>
      <c r="K818" s="18"/>
      <c r="L818" s="18"/>
      <c r="M818" s="18"/>
      <c r="N818" s="18"/>
      <c r="O818" s="18"/>
      <c r="S818" s="18"/>
      <c r="T818" s="20"/>
    </row>
    <row r="819" spans="7:20" x14ac:dyDescent="0.2">
      <c r="G819" s="18"/>
      <c r="H819" s="19"/>
      <c r="I819" s="18"/>
      <c r="J819" s="18"/>
      <c r="K819" s="18"/>
      <c r="L819" s="18"/>
      <c r="M819" s="18"/>
      <c r="N819" s="18"/>
      <c r="O819" s="18"/>
      <c r="S819" s="18"/>
      <c r="T819" s="20"/>
    </row>
    <row r="820" spans="7:20" x14ac:dyDescent="0.2">
      <c r="G820" s="18"/>
      <c r="H820" s="19"/>
      <c r="I820" s="18"/>
      <c r="J820" s="18"/>
      <c r="K820" s="18"/>
      <c r="L820" s="18"/>
      <c r="M820" s="18"/>
      <c r="N820" s="18"/>
      <c r="O820" s="18"/>
      <c r="S820" s="18"/>
      <c r="T820" s="20"/>
    </row>
    <row r="821" spans="7:20" x14ac:dyDescent="0.2">
      <c r="G821" s="18"/>
      <c r="H821" s="19"/>
      <c r="I821" s="18"/>
      <c r="J821" s="18"/>
      <c r="K821" s="18"/>
      <c r="L821" s="18"/>
      <c r="M821" s="18"/>
      <c r="N821" s="18"/>
      <c r="O821" s="18"/>
      <c r="S821" s="18"/>
      <c r="T821" s="20"/>
    </row>
    <row r="822" spans="7:20" x14ac:dyDescent="0.2">
      <c r="G822" s="18"/>
      <c r="H822" s="19"/>
      <c r="I822" s="18"/>
      <c r="J822" s="18"/>
      <c r="K822" s="18"/>
      <c r="L822" s="18"/>
      <c r="M822" s="18"/>
      <c r="N822" s="18"/>
      <c r="O822" s="18"/>
      <c r="S822" s="18"/>
      <c r="T822" s="20"/>
    </row>
    <row r="823" spans="7:20" x14ac:dyDescent="0.2">
      <c r="G823" s="18"/>
      <c r="H823" s="19"/>
      <c r="I823" s="18"/>
      <c r="J823" s="18"/>
      <c r="K823" s="18"/>
      <c r="L823" s="18"/>
      <c r="M823" s="18"/>
      <c r="N823" s="18"/>
      <c r="O823" s="18"/>
      <c r="S823" s="18"/>
      <c r="T823" s="20"/>
    </row>
    <row r="824" spans="7:20" x14ac:dyDescent="0.2">
      <c r="G824" s="18"/>
      <c r="H824" s="19"/>
      <c r="I824" s="18"/>
      <c r="J824" s="18"/>
      <c r="K824" s="18"/>
      <c r="L824" s="18"/>
      <c r="M824" s="18"/>
      <c r="N824" s="18"/>
      <c r="O824" s="18"/>
      <c r="S824" s="18"/>
      <c r="T824" s="20"/>
    </row>
    <row r="825" spans="7:20" x14ac:dyDescent="0.2">
      <c r="G825" s="18"/>
      <c r="H825" s="19"/>
      <c r="I825" s="18"/>
      <c r="J825" s="18"/>
      <c r="K825" s="18"/>
      <c r="L825" s="18"/>
      <c r="M825" s="18"/>
      <c r="N825" s="18"/>
      <c r="O825" s="18"/>
      <c r="S825" s="18"/>
      <c r="T825" s="20"/>
    </row>
    <row r="826" spans="7:20" x14ac:dyDescent="0.2">
      <c r="G826" s="18"/>
      <c r="H826" s="19"/>
      <c r="I826" s="18"/>
      <c r="J826" s="18"/>
      <c r="K826" s="18"/>
      <c r="L826" s="18"/>
      <c r="M826" s="18"/>
      <c r="N826" s="18"/>
      <c r="O826" s="18"/>
      <c r="S826" s="18"/>
      <c r="T826" s="20"/>
    </row>
    <row r="827" spans="7:20" x14ac:dyDescent="0.2">
      <c r="G827" s="18"/>
      <c r="H827" s="19"/>
      <c r="I827" s="18"/>
      <c r="J827" s="18"/>
      <c r="K827" s="18"/>
      <c r="L827" s="18"/>
      <c r="M827" s="18"/>
      <c r="N827" s="18"/>
      <c r="O827" s="18"/>
      <c r="S827" s="18"/>
      <c r="T827" s="20"/>
    </row>
    <row r="828" spans="7:20" x14ac:dyDescent="0.2">
      <c r="G828" s="18"/>
      <c r="H828" s="19"/>
      <c r="I828" s="18"/>
      <c r="J828" s="18"/>
      <c r="K828" s="18"/>
      <c r="L828" s="18"/>
      <c r="M828" s="18"/>
      <c r="N828" s="18"/>
      <c r="O828" s="18"/>
      <c r="S828" s="18"/>
      <c r="T828" s="20"/>
    </row>
    <row r="829" spans="7:20" x14ac:dyDescent="0.2">
      <c r="G829" s="18"/>
      <c r="H829" s="19"/>
      <c r="I829" s="18"/>
      <c r="J829" s="18"/>
      <c r="K829" s="18"/>
      <c r="L829" s="18"/>
      <c r="M829" s="18"/>
      <c r="N829" s="18"/>
      <c r="O829" s="18"/>
      <c r="S829" s="18"/>
      <c r="T829" s="20"/>
    </row>
    <row r="830" spans="7:20" x14ac:dyDescent="0.2">
      <c r="G830" s="18"/>
      <c r="H830" s="19"/>
      <c r="I830" s="18"/>
      <c r="J830" s="18"/>
      <c r="K830" s="18"/>
      <c r="L830" s="18"/>
      <c r="M830" s="18"/>
      <c r="N830" s="18"/>
      <c r="O830" s="18"/>
      <c r="S830" s="18"/>
      <c r="T830" s="20"/>
    </row>
    <row r="831" spans="7:20" x14ac:dyDescent="0.2">
      <c r="G831" s="18"/>
      <c r="H831" s="19"/>
      <c r="I831" s="18"/>
      <c r="J831" s="18"/>
      <c r="K831" s="18"/>
      <c r="L831" s="18"/>
      <c r="M831" s="18"/>
      <c r="N831" s="18"/>
      <c r="O831" s="18"/>
      <c r="S831" s="18"/>
      <c r="T831" s="20"/>
    </row>
    <row r="832" spans="7:20" x14ac:dyDescent="0.2">
      <c r="G832" s="18"/>
      <c r="H832" s="19"/>
      <c r="I832" s="18"/>
      <c r="J832" s="18"/>
      <c r="K832" s="18"/>
      <c r="L832" s="18"/>
      <c r="M832" s="18"/>
      <c r="N832" s="18"/>
      <c r="O832" s="18"/>
      <c r="S832" s="18"/>
      <c r="T832" s="20"/>
    </row>
    <row r="833" spans="7:20" x14ac:dyDescent="0.2">
      <c r="G833" s="18"/>
      <c r="H833" s="19"/>
      <c r="I833" s="18"/>
      <c r="J833" s="18"/>
      <c r="K833" s="18"/>
      <c r="L833" s="18"/>
      <c r="M833" s="18"/>
      <c r="N833" s="18"/>
      <c r="O833" s="18"/>
      <c r="S833" s="18"/>
      <c r="T833" s="20"/>
    </row>
    <row r="834" spans="7:20" x14ac:dyDescent="0.2">
      <c r="G834" s="18"/>
      <c r="H834" s="19"/>
      <c r="I834" s="18"/>
      <c r="J834" s="18"/>
      <c r="K834" s="18"/>
      <c r="L834" s="18"/>
      <c r="M834" s="18"/>
      <c r="N834" s="18"/>
      <c r="O834" s="18"/>
      <c r="S834" s="18"/>
      <c r="T834" s="20"/>
    </row>
    <row r="835" spans="7:20" x14ac:dyDescent="0.2">
      <c r="G835" s="18"/>
      <c r="H835" s="19"/>
      <c r="I835" s="18"/>
      <c r="J835" s="18"/>
      <c r="K835" s="18"/>
      <c r="L835" s="18"/>
      <c r="M835" s="18"/>
      <c r="N835" s="18"/>
      <c r="O835" s="18"/>
      <c r="S835" s="18"/>
      <c r="T835" s="20"/>
    </row>
    <row r="836" spans="7:20" x14ac:dyDescent="0.2">
      <c r="G836" s="18"/>
      <c r="H836" s="19"/>
      <c r="I836" s="18"/>
      <c r="J836" s="18"/>
      <c r="K836" s="18"/>
      <c r="L836" s="18"/>
      <c r="M836" s="18"/>
      <c r="N836" s="18"/>
      <c r="O836" s="18"/>
      <c r="S836" s="18"/>
      <c r="T836" s="20"/>
    </row>
    <row r="837" spans="7:20" x14ac:dyDescent="0.2">
      <c r="G837" s="18"/>
      <c r="H837" s="19"/>
      <c r="I837" s="18"/>
      <c r="J837" s="18"/>
      <c r="K837" s="18"/>
      <c r="L837" s="18"/>
      <c r="M837" s="18"/>
      <c r="N837" s="18"/>
      <c r="O837" s="18"/>
      <c r="S837" s="18"/>
      <c r="T837" s="20"/>
    </row>
    <row r="838" spans="7:20" x14ac:dyDescent="0.2">
      <c r="G838" s="18"/>
      <c r="H838" s="19"/>
      <c r="I838" s="18"/>
      <c r="J838" s="18"/>
      <c r="K838" s="18"/>
      <c r="L838" s="18"/>
      <c r="M838" s="18"/>
      <c r="N838" s="18"/>
      <c r="O838" s="18"/>
      <c r="S838" s="18"/>
      <c r="T838" s="20"/>
    </row>
    <row r="839" spans="7:20" x14ac:dyDescent="0.2">
      <c r="G839" s="18"/>
      <c r="H839" s="19"/>
      <c r="I839" s="18"/>
      <c r="J839" s="18"/>
      <c r="K839" s="18"/>
      <c r="L839" s="18"/>
      <c r="M839" s="18"/>
      <c r="N839" s="18"/>
      <c r="O839" s="18"/>
      <c r="S839" s="18"/>
      <c r="T839" s="20"/>
    </row>
    <row r="840" spans="7:20" x14ac:dyDescent="0.2">
      <c r="G840" s="18"/>
      <c r="H840" s="19"/>
      <c r="I840" s="18"/>
      <c r="J840" s="18"/>
      <c r="K840" s="18"/>
      <c r="L840" s="18"/>
      <c r="M840" s="18"/>
      <c r="N840" s="18"/>
      <c r="O840" s="18"/>
      <c r="S840" s="18"/>
      <c r="T840" s="20"/>
    </row>
    <row r="841" spans="7:20" x14ac:dyDescent="0.2">
      <c r="G841" s="18"/>
      <c r="H841" s="19"/>
      <c r="I841" s="18"/>
      <c r="J841" s="18"/>
      <c r="K841" s="18"/>
      <c r="L841" s="18"/>
      <c r="M841" s="18"/>
      <c r="N841" s="18"/>
      <c r="O841" s="18"/>
      <c r="S841" s="18"/>
      <c r="T841" s="20"/>
    </row>
    <row r="842" spans="7:20" x14ac:dyDescent="0.2">
      <c r="G842" s="18"/>
      <c r="H842" s="19"/>
      <c r="I842" s="18"/>
      <c r="J842" s="18"/>
      <c r="K842" s="18"/>
      <c r="L842" s="18"/>
      <c r="M842" s="18"/>
      <c r="N842" s="18"/>
      <c r="O842" s="18"/>
      <c r="S842" s="18"/>
      <c r="T842" s="20"/>
    </row>
    <row r="843" spans="7:20" x14ac:dyDescent="0.2">
      <c r="G843" s="18"/>
      <c r="H843" s="19"/>
      <c r="I843" s="18"/>
      <c r="J843" s="18"/>
      <c r="K843" s="18"/>
      <c r="L843" s="18"/>
      <c r="M843" s="18"/>
      <c r="N843" s="18"/>
      <c r="O843" s="18"/>
      <c r="S843" s="18"/>
      <c r="T843" s="20"/>
    </row>
    <row r="844" spans="7:20" x14ac:dyDescent="0.2">
      <c r="G844" s="18"/>
      <c r="H844" s="19"/>
      <c r="I844" s="18"/>
      <c r="J844" s="18"/>
      <c r="K844" s="18"/>
      <c r="L844" s="18"/>
      <c r="M844" s="18"/>
      <c r="N844" s="18"/>
      <c r="O844" s="18"/>
      <c r="S844" s="18"/>
      <c r="T844" s="20"/>
    </row>
    <row r="845" spans="7:20" x14ac:dyDescent="0.2">
      <c r="G845" s="18"/>
      <c r="H845" s="19"/>
      <c r="I845" s="18"/>
      <c r="J845" s="18"/>
      <c r="K845" s="18"/>
      <c r="L845" s="18"/>
      <c r="M845" s="18"/>
      <c r="N845" s="18"/>
      <c r="O845" s="18"/>
      <c r="S845" s="18"/>
      <c r="T845" s="20"/>
    </row>
    <row r="846" spans="7:20" x14ac:dyDescent="0.2">
      <c r="G846" s="18"/>
      <c r="H846" s="19"/>
      <c r="I846" s="18"/>
      <c r="J846" s="18"/>
      <c r="K846" s="18"/>
      <c r="L846" s="18"/>
      <c r="M846" s="18"/>
      <c r="N846" s="18"/>
      <c r="O846" s="18"/>
      <c r="S846" s="18"/>
      <c r="T846" s="20"/>
    </row>
    <row r="847" spans="7:20" x14ac:dyDescent="0.2">
      <c r="G847" s="18"/>
      <c r="H847" s="19"/>
      <c r="I847" s="18"/>
      <c r="J847" s="18"/>
      <c r="K847" s="18"/>
      <c r="L847" s="18"/>
      <c r="M847" s="18"/>
      <c r="N847" s="18"/>
      <c r="O847" s="18"/>
      <c r="S847" s="18"/>
      <c r="T847" s="20"/>
    </row>
    <row r="848" spans="7:20" x14ac:dyDescent="0.2">
      <c r="G848" s="18"/>
      <c r="H848" s="19"/>
      <c r="I848" s="18"/>
      <c r="J848" s="18"/>
      <c r="K848" s="18"/>
      <c r="L848" s="18"/>
      <c r="M848" s="18"/>
      <c r="N848" s="18"/>
      <c r="O848" s="18"/>
      <c r="S848" s="18"/>
      <c r="T848" s="20"/>
    </row>
    <row r="849" spans="7:20" x14ac:dyDescent="0.2">
      <c r="G849" s="18"/>
      <c r="H849" s="19"/>
      <c r="I849" s="18"/>
      <c r="J849" s="18"/>
      <c r="K849" s="18"/>
      <c r="L849" s="18"/>
      <c r="M849" s="18"/>
      <c r="N849" s="18"/>
      <c r="O849" s="18"/>
      <c r="S849" s="18"/>
      <c r="T849" s="20"/>
    </row>
    <row r="850" spans="7:20" x14ac:dyDescent="0.2">
      <c r="G850" s="18"/>
      <c r="H850" s="19"/>
      <c r="I850" s="18"/>
      <c r="J850" s="18"/>
      <c r="K850" s="18"/>
      <c r="L850" s="18"/>
      <c r="M850" s="18"/>
      <c r="N850" s="18"/>
      <c r="O850" s="18"/>
      <c r="S850" s="18"/>
      <c r="T850" s="20"/>
    </row>
    <row r="851" spans="7:20" x14ac:dyDescent="0.2">
      <c r="G851" s="18"/>
      <c r="H851" s="19"/>
      <c r="I851" s="18"/>
      <c r="J851" s="18"/>
      <c r="K851" s="18"/>
      <c r="L851" s="18"/>
      <c r="M851" s="18"/>
      <c r="N851" s="18"/>
      <c r="O851" s="18"/>
      <c r="S851" s="18"/>
      <c r="T851" s="20"/>
    </row>
    <row r="852" spans="7:20" x14ac:dyDescent="0.2">
      <c r="G852" s="18"/>
      <c r="H852" s="19"/>
      <c r="I852" s="18"/>
      <c r="J852" s="18"/>
      <c r="K852" s="18"/>
      <c r="L852" s="18"/>
      <c r="M852" s="18"/>
      <c r="N852" s="18"/>
      <c r="O852" s="18"/>
      <c r="S852" s="18"/>
      <c r="T852" s="20"/>
    </row>
    <row r="853" spans="7:20" x14ac:dyDescent="0.2">
      <c r="G853" s="18"/>
      <c r="H853" s="19"/>
      <c r="I853" s="18"/>
      <c r="J853" s="18"/>
      <c r="K853" s="18"/>
      <c r="L853" s="18"/>
      <c r="M853" s="18"/>
      <c r="N853" s="18"/>
      <c r="O853" s="18"/>
      <c r="S853" s="18"/>
      <c r="T853" s="20"/>
    </row>
    <row r="854" spans="7:20" x14ac:dyDescent="0.2">
      <c r="G854" s="18"/>
      <c r="H854" s="19"/>
      <c r="I854" s="18"/>
      <c r="J854" s="18"/>
      <c r="K854" s="18"/>
      <c r="L854" s="18"/>
      <c r="M854" s="18"/>
      <c r="N854" s="18"/>
      <c r="O854" s="18"/>
      <c r="S854" s="18"/>
      <c r="T854" s="20"/>
    </row>
    <row r="855" spans="7:20" x14ac:dyDescent="0.2">
      <c r="G855" s="18"/>
      <c r="H855" s="19"/>
      <c r="I855" s="18"/>
      <c r="J855" s="18"/>
      <c r="K855" s="18"/>
      <c r="L855" s="18"/>
      <c r="M855" s="18"/>
      <c r="N855" s="18"/>
      <c r="O855" s="18"/>
      <c r="S855" s="18"/>
      <c r="T855" s="20"/>
    </row>
    <row r="856" spans="7:20" x14ac:dyDescent="0.2">
      <c r="G856" s="18"/>
      <c r="H856" s="19"/>
      <c r="I856" s="18"/>
      <c r="J856" s="18"/>
      <c r="K856" s="18"/>
      <c r="L856" s="18"/>
      <c r="M856" s="18"/>
      <c r="N856" s="18"/>
      <c r="O856" s="18"/>
      <c r="S856" s="18"/>
      <c r="T856" s="20"/>
    </row>
    <row r="857" spans="7:20" x14ac:dyDescent="0.2">
      <c r="G857" s="18"/>
      <c r="H857" s="19"/>
      <c r="I857" s="18"/>
      <c r="J857" s="18"/>
      <c r="K857" s="18"/>
      <c r="L857" s="18"/>
      <c r="M857" s="18"/>
      <c r="N857" s="18"/>
      <c r="O857" s="18"/>
      <c r="S857" s="18"/>
      <c r="T857" s="20"/>
    </row>
    <row r="858" spans="7:20" x14ac:dyDescent="0.2">
      <c r="G858" s="18"/>
      <c r="H858" s="19"/>
      <c r="I858" s="18"/>
      <c r="J858" s="18"/>
      <c r="K858" s="18"/>
      <c r="L858" s="18"/>
      <c r="M858" s="18"/>
      <c r="N858" s="18"/>
      <c r="O858" s="18"/>
      <c r="S858" s="18"/>
      <c r="T858" s="20"/>
    </row>
    <row r="859" spans="7:20" x14ac:dyDescent="0.2">
      <c r="G859" s="18"/>
      <c r="H859" s="19"/>
      <c r="I859" s="18"/>
      <c r="J859" s="18"/>
      <c r="K859" s="18"/>
      <c r="L859" s="18"/>
      <c r="M859" s="18"/>
      <c r="N859" s="18"/>
      <c r="O859" s="18"/>
      <c r="S859" s="18"/>
      <c r="T859" s="20"/>
    </row>
    <row r="860" spans="7:20" x14ac:dyDescent="0.2">
      <c r="G860" s="18"/>
      <c r="H860" s="19"/>
      <c r="I860" s="18"/>
      <c r="J860" s="18"/>
      <c r="K860" s="18"/>
      <c r="L860" s="18"/>
      <c r="M860" s="18"/>
      <c r="N860" s="18"/>
      <c r="O860" s="18"/>
      <c r="S860" s="18"/>
      <c r="T860" s="20"/>
    </row>
    <row r="861" spans="7:20" x14ac:dyDescent="0.2">
      <c r="G861" s="18"/>
      <c r="H861" s="19"/>
      <c r="I861" s="18"/>
      <c r="J861" s="18"/>
      <c r="K861" s="18"/>
      <c r="L861" s="18"/>
      <c r="M861" s="18"/>
      <c r="N861" s="18"/>
      <c r="O861" s="18"/>
      <c r="S861" s="18"/>
      <c r="T861" s="20"/>
    </row>
    <row r="862" spans="7:20" x14ac:dyDescent="0.2">
      <c r="G862" s="18"/>
      <c r="H862" s="19"/>
      <c r="I862" s="18"/>
      <c r="J862" s="18"/>
      <c r="K862" s="18"/>
      <c r="L862" s="18"/>
      <c r="M862" s="18"/>
      <c r="N862" s="18"/>
      <c r="O862" s="18"/>
      <c r="S862" s="18"/>
      <c r="T862" s="20"/>
    </row>
    <row r="863" spans="7:20" x14ac:dyDescent="0.2">
      <c r="G863" s="18"/>
      <c r="H863" s="19"/>
      <c r="I863" s="18"/>
      <c r="J863" s="18"/>
      <c r="K863" s="18"/>
      <c r="L863" s="18"/>
      <c r="M863" s="18"/>
      <c r="N863" s="18"/>
      <c r="O863" s="18"/>
      <c r="S863" s="18"/>
      <c r="T863" s="20"/>
    </row>
    <row r="864" spans="7:20" x14ac:dyDescent="0.2">
      <c r="G864" s="18"/>
      <c r="H864" s="19"/>
      <c r="I864" s="18"/>
      <c r="J864" s="18"/>
      <c r="K864" s="18"/>
      <c r="L864" s="18"/>
      <c r="M864" s="18"/>
      <c r="N864" s="18"/>
      <c r="O864" s="18"/>
      <c r="S864" s="18"/>
      <c r="T864" s="20"/>
    </row>
    <row r="865" spans="7:20" x14ac:dyDescent="0.2">
      <c r="G865" s="18"/>
      <c r="H865" s="19"/>
      <c r="I865" s="18"/>
      <c r="J865" s="18"/>
      <c r="K865" s="18"/>
      <c r="L865" s="18"/>
      <c r="M865" s="18"/>
      <c r="N865" s="18"/>
      <c r="O865" s="18"/>
      <c r="S865" s="18"/>
      <c r="T865" s="20"/>
    </row>
    <row r="866" spans="7:20" x14ac:dyDescent="0.2">
      <c r="G866" s="18"/>
      <c r="H866" s="19"/>
      <c r="I866" s="18"/>
      <c r="J866" s="18"/>
      <c r="K866" s="18"/>
      <c r="L866" s="18"/>
      <c r="M866" s="18"/>
      <c r="N866" s="18"/>
      <c r="O866" s="18"/>
      <c r="S866" s="18"/>
      <c r="T866" s="20"/>
    </row>
    <row r="867" spans="7:20" x14ac:dyDescent="0.2">
      <c r="G867" s="18"/>
      <c r="H867" s="19"/>
      <c r="I867" s="18"/>
      <c r="J867" s="18"/>
      <c r="K867" s="18"/>
      <c r="L867" s="18"/>
      <c r="M867" s="18"/>
      <c r="N867" s="18"/>
      <c r="O867" s="18"/>
      <c r="S867" s="18"/>
      <c r="T867" s="20"/>
    </row>
    <row r="868" spans="7:20" x14ac:dyDescent="0.2">
      <c r="G868" s="18"/>
      <c r="H868" s="19"/>
      <c r="I868" s="18"/>
      <c r="J868" s="18"/>
      <c r="K868" s="18"/>
      <c r="L868" s="18"/>
      <c r="M868" s="18"/>
      <c r="N868" s="18"/>
      <c r="O868" s="18"/>
      <c r="S868" s="18"/>
      <c r="T868" s="20"/>
    </row>
    <row r="869" spans="7:20" x14ac:dyDescent="0.2">
      <c r="G869" s="18"/>
      <c r="H869" s="19"/>
      <c r="I869" s="18"/>
      <c r="J869" s="18"/>
      <c r="K869" s="18"/>
      <c r="L869" s="18"/>
      <c r="M869" s="18"/>
      <c r="N869" s="18"/>
      <c r="O869" s="18"/>
      <c r="S869" s="18"/>
      <c r="T869" s="20"/>
    </row>
    <row r="870" spans="7:20" x14ac:dyDescent="0.2">
      <c r="G870" s="18"/>
      <c r="H870" s="19"/>
      <c r="I870" s="18"/>
      <c r="J870" s="18"/>
      <c r="K870" s="18"/>
      <c r="L870" s="18"/>
      <c r="M870" s="18"/>
      <c r="N870" s="18"/>
      <c r="O870" s="18"/>
      <c r="S870" s="18"/>
      <c r="T870" s="20"/>
    </row>
    <row r="871" spans="7:20" x14ac:dyDescent="0.2">
      <c r="G871" s="18"/>
      <c r="H871" s="19"/>
      <c r="I871" s="18"/>
      <c r="J871" s="18"/>
      <c r="K871" s="18"/>
      <c r="L871" s="18"/>
      <c r="M871" s="18"/>
      <c r="N871" s="18"/>
      <c r="O871" s="18"/>
      <c r="S871" s="18"/>
      <c r="T871" s="20"/>
    </row>
    <row r="872" spans="7:20" x14ac:dyDescent="0.2">
      <c r="G872" s="18"/>
      <c r="H872" s="19"/>
      <c r="I872" s="18"/>
      <c r="J872" s="18"/>
      <c r="K872" s="18"/>
      <c r="L872" s="18"/>
      <c r="M872" s="18"/>
      <c r="N872" s="18"/>
      <c r="O872" s="18"/>
      <c r="S872" s="18"/>
      <c r="T872" s="20"/>
    </row>
    <row r="873" spans="7:20" x14ac:dyDescent="0.2">
      <c r="G873" s="18"/>
      <c r="H873" s="19"/>
      <c r="I873" s="18"/>
      <c r="J873" s="18"/>
      <c r="K873" s="18"/>
      <c r="L873" s="18"/>
      <c r="M873" s="18"/>
      <c r="N873" s="18"/>
      <c r="O873" s="18"/>
      <c r="S873" s="18"/>
      <c r="T873" s="20"/>
    </row>
    <row r="874" spans="7:20" x14ac:dyDescent="0.2">
      <c r="G874" s="18"/>
      <c r="H874" s="19"/>
      <c r="I874" s="18"/>
      <c r="J874" s="18"/>
      <c r="K874" s="18"/>
      <c r="L874" s="18"/>
      <c r="M874" s="18"/>
      <c r="N874" s="18"/>
      <c r="O874" s="18"/>
      <c r="S874" s="18"/>
      <c r="T874" s="20"/>
    </row>
    <row r="875" spans="7:20" x14ac:dyDescent="0.2">
      <c r="G875" s="18"/>
      <c r="H875" s="19"/>
      <c r="I875" s="18"/>
      <c r="J875" s="18"/>
      <c r="K875" s="18"/>
      <c r="L875" s="18"/>
      <c r="M875" s="18"/>
      <c r="N875" s="18"/>
      <c r="O875" s="18"/>
      <c r="S875" s="18"/>
      <c r="T875" s="20"/>
    </row>
    <row r="876" spans="7:20" x14ac:dyDescent="0.2">
      <c r="G876" s="18"/>
      <c r="H876" s="19"/>
      <c r="I876" s="18"/>
      <c r="J876" s="18"/>
      <c r="K876" s="18"/>
      <c r="L876" s="18"/>
      <c r="M876" s="18"/>
      <c r="N876" s="18"/>
      <c r="O876" s="18"/>
      <c r="S876" s="18"/>
      <c r="T876" s="20"/>
    </row>
    <row r="877" spans="7:20" x14ac:dyDescent="0.2">
      <c r="G877" s="18"/>
      <c r="H877" s="19"/>
      <c r="I877" s="18"/>
      <c r="J877" s="18"/>
      <c r="K877" s="18"/>
      <c r="L877" s="18"/>
      <c r="M877" s="18"/>
      <c r="N877" s="18"/>
      <c r="O877" s="18"/>
      <c r="S877" s="18"/>
      <c r="T877" s="20"/>
    </row>
    <row r="878" spans="7:20" x14ac:dyDescent="0.2">
      <c r="G878" s="18"/>
      <c r="H878" s="19"/>
      <c r="I878" s="18"/>
      <c r="J878" s="18"/>
      <c r="K878" s="18"/>
      <c r="L878" s="18"/>
      <c r="M878" s="18"/>
      <c r="N878" s="18"/>
      <c r="O878" s="18"/>
      <c r="S878" s="18"/>
      <c r="T878" s="20"/>
    </row>
    <row r="879" spans="7:20" x14ac:dyDescent="0.2">
      <c r="G879" s="18"/>
      <c r="H879" s="19"/>
      <c r="I879" s="18"/>
      <c r="J879" s="18"/>
      <c r="K879" s="18"/>
      <c r="L879" s="18"/>
      <c r="M879" s="18"/>
      <c r="N879" s="18"/>
      <c r="O879" s="18"/>
      <c r="S879" s="18"/>
      <c r="T879" s="20"/>
    </row>
    <row r="880" spans="7:20" x14ac:dyDescent="0.2">
      <c r="G880" s="18"/>
      <c r="H880" s="19"/>
      <c r="I880" s="18"/>
      <c r="J880" s="18"/>
      <c r="K880" s="18"/>
      <c r="L880" s="18"/>
      <c r="M880" s="18"/>
      <c r="N880" s="18"/>
      <c r="O880" s="18"/>
      <c r="S880" s="18"/>
      <c r="T880" s="20"/>
    </row>
    <row r="881" spans="7:20" x14ac:dyDescent="0.2">
      <c r="G881" s="18"/>
      <c r="H881" s="19"/>
      <c r="I881" s="18"/>
      <c r="J881" s="18"/>
      <c r="K881" s="18"/>
      <c r="L881" s="18"/>
      <c r="M881" s="18"/>
      <c r="N881" s="18"/>
      <c r="O881" s="18"/>
      <c r="S881" s="18"/>
      <c r="T881" s="20"/>
    </row>
    <row r="882" spans="7:20" x14ac:dyDescent="0.2">
      <c r="G882" s="18"/>
      <c r="H882" s="19"/>
      <c r="I882" s="18"/>
      <c r="J882" s="18"/>
      <c r="K882" s="18"/>
      <c r="L882" s="18"/>
      <c r="M882" s="18"/>
      <c r="N882" s="18"/>
      <c r="O882" s="18"/>
      <c r="S882" s="18"/>
      <c r="T882" s="20"/>
    </row>
    <row r="883" spans="7:20" x14ac:dyDescent="0.2">
      <c r="G883" s="18"/>
      <c r="H883" s="19"/>
      <c r="I883" s="18"/>
      <c r="J883" s="18"/>
      <c r="K883" s="18"/>
      <c r="L883" s="18"/>
      <c r="M883" s="18"/>
      <c r="N883" s="18"/>
      <c r="O883" s="18"/>
      <c r="S883" s="18"/>
      <c r="T883" s="20"/>
    </row>
    <row r="884" spans="7:20" x14ac:dyDescent="0.2">
      <c r="G884" s="18"/>
      <c r="H884" s="19"/>
      <c r="I884" s="18"/>
      <c r="J884" s="18"/>
      <c r="K884" s="18"/>
      <c r="L884" s="18"/>
      <c r="M884" s="18"/>
      <c r="N884" s="18"/>
      <c r="O884" s="18"/>
      <c r="S884" s="18"/>
      <c r="T884" s="20"/>
    </row>
    <row r="885" spans="7:20" x14ac:dyDescent="0.2">
      <c r="G885" s="18"/>
      <c r="H885" s="19"/>
      <c r="I885" s="18"/>
      <c r="J885" s="18"/>
      <c r="K885" s="18"/>
      <c r="L885" s="18"/>
      <c r="M885" s="18"/>
      <c r="N885" s="18"/>
      <c r="O885" s="18"/>
      <c r="S885" s="18"/>
      <c r="T885" s="20"/>
    </row>
    <row r="886" spans="7:20" x14ac:dyDescent="0.2">
      <c r="G886" s="18"/>
      <c r="H886" s="19"/>
      <c r="I886" s="18"/>
      <c r="J886" s="18"/>
      <c r="K886" s="18"/>
      <c r="L886" s="18"/>
      <c r="M886" s="18"/>
      <c r="N886" s="18"/>
      <c r="O886" s="18"/>
      <c r="S886" s="18"/>
      <c r="T886" s="20"/>
    </row>
    <row r="887" spans="7:20" x14ac:dyDescent="0.2">
      <c r="G887" s="18"/>
      <c r="H887" s="19"/>
      <c r="I887" s="18"/>
      <c r="J887" s="18"/>
      <c r="K887" s="18"/>
      <c r="L887" s="18"/>
      <c r="M887" s="18"/>
      <c r="N887" s="18"/>
      <c r="O887" s="18"/>
      <c r="S887" s="18"/>
      <c r="T887" s="20"/>
    </row>
    <row r="888" spans="7:20" x14ac:dyDescent="0.2">
      <c r="G888" s="18"/>
      <c r="H888" s="19"/>
      <c r="I888" s="18"/>
      <c r="J888" s="18"/>
      <c r="K888" s="18"/>
      <c r="L888" s="18"/>
      <c r="M888" s="18"/>
      <c r="N888" s="18"/>
      <c r="O888" s="18"/>
      <c r="S888" s="18"/>
      <c r="T888" s="20"/>
    </row>
    <row r="889" spans="7:20" x14ac:dyDescent="0.2">
      <c r="G889" s="18"/>
      <c r="H889" s="19"/>
      <c r="I889" s="18"/>
      <c r="J889" s="18"/>
      <c r="K889" s="18"/>
      <c r="L889" s="18"/>
      <c r="M889" s="18"/>
      <c r="N889" s="18"/>
      <c r="O889" s="18"/>
      <c r="S889" s="18"/>
      <c r="T889" s="20"/>
    </row>
    <row r="890" spans="7:20" x14ac:dyDescent="0.2">
      <c r="G890" s="18"/>
      <c r="H890" s="19"/>
      <c r="I890" s="18"/>
      <c r="J890" s="18"/>
      <c r="K890" s="18"/>
      <c r="L890" s="18"/>
      <c r="M890" s="18"/>
      <c r="N890" s="18"/>
      <c r="O890" s="18"/>
      <c r="S890" s="18"/>
      <c r="T890" s="20"/>
    </row>
    <row r="891" spans="7:20" x14ac:dyDescent="0.2">
      <c r="G891" s="18"/>
      <c r="H891" s="19"/>
      <c r="I891" s="18"/>
      <c r="J891" s="18"/>
      <c r="K891" s="18"/>
      <c r="L891" s="18"/>
      <c r="M891" s="18"/>
      <c r="N891" s="18"/>
      <c r="O891" s="18"/>
      <c r="S891" s="18"/>
      <c r="T891" s="20"/>
    </row>
    <row r="892" spans="7:20" x14ac:dyDescent="0.2">
      <c r="G892" s="18"/>
      <c r="H892" s="19"/>
      <c r="I892" s="18"/>
      <c r="J892" s="18"/>
      <c r="K892" s="18"/>
      <c r="L892" s="18"/>
      <c r="M892" s="18"/>
      <c r="N892" s="18"/>
      <c r="O892" s="18"/>
      <c r="S892" s="18"/>
      <c r="T892" s="20"/>
    </row>
    <row r="893" spans="7:20" x14ac:dyDescent="0.2">
      <c r="G893" s="18"/>
      <c r="H893" s="19"/>
      <c r="I893" s="18"/>
      <c r="J893" s="18"/>
      <c r="K893" s="18"/>
      <c r="L893" s="18"/>
      <c r="M893" s="18"/>
      <c r="N893" s="18"/>
      <c r="O893" s="18"/>
      <c r="S893" s="18"/>
      <c r="T893" s="20"/>
    </row>
    <row r="894" spans="7:20" x14ac:dyDescent="0.2">
      <c r="G894" s="18"/>
      <c r="H894" s="19"/>
      <c r="I894" s="18"/>
      <c r="J894" s="18"/>
      <c r="K894" s="18"/>
      <c r="L894" s="18"/>
      <c r="M894" s="18"/>
      <c r="N894" s="18"/>
      <c r="O894" s="18"/>
      <c r="S894" s="18"/>
      <c r="T894" s="20"/>
    </row>
    <row r="895" spans="7:20" x14ac:dyDescent="0.2">
      <c r="G895" s="18"/>
      <c r="H895" s="19"/>
      <c r="I895" s="18"/>
      <c r="J895" s="18"/>
      <c r="K895" s="18"/>
      <c r="L895" s="18"/>
      <c r="M895" s="18"/>
      <c r="N895" s="18"/>
      <c r="O895" s="18"/>
      <c r="S895" s="18"/>
      <c r="T895" s="20"/>
    </row>
    <row r="896" spans="7:20" x14ac:dyDescent="0.2">
      <c r="G896" s="18"/>
      <c r="H896" s="19"/>
      <c r="I896" s="18"/>
      <c r="J896" s="18"/>
      <c r="K896" s="18"/>
      <c r="L896" s="18"/>
      <c r="M896" s="18"/>
      <c r="N896" s="18"/>
      <c r="O896" s="18"/>
      <c r="S896" s="18"/>
      <c r="T896" s="20"/>
    </row>
    <row r="897" spans="7:20" x14ac:dyDescent="0.2">
      <c r="G897" s="18"/>
      <c r="H897" s="19"/>
      <c r="I897" s="18"/>
      <c r="J897" s="18"/>
      <c r="K897" s="18"/>
      <c r="L897" s="18"/>
      <c r="M897" s="18"/>
      <c r="N897" s="18"/>
      <c r="O897" s="18"/>
      <c r="S897" s="18"/>
      <c r="T897" s="20"/>
    </row>
    <row r="898" spans="7:20" x14ac:dyDescent="0.2">
      <c r="G898" s="18"/>
      <c r="H898" s="19"/>
      <c r="I898" s="18"/>
      <c r="J898" s="18"/>
      <c r="K898" s="18"/>
      <c r="L898" s="18"/>
      <c r="M898" s="18"/>
      <c r="N898" s="18"/>
      <c r="O898" s="18"/>
      <c r="S898" s="18"/>
      <c r="T898" s="20"/>
    </row>
    <row r="899" spans="7:20" x14ac:dyDescent="0.2">
      <c r="G899" s="18"/>
      <c r="H899" s="19"/>
      <c r="I899" s="18"/>
      <c r="J899" s="18"/>
      <c r="K899" s="18"/>
      <c r="L899" s="18"/>
      <c r="M899" s="18"/>
      <c r="N899" s="18"/>
      <c r="O899" s="18"/>
      <c r="S899" s="18"/>
      <c r="T899" s="20"/>
    </row>
    <row r="900" spans="7:20" x14ac:dyDescent="0.2">
      <c r="G900" s="18"/>
      <c r="H900" s="19"/>
      <c r="I900" s="18"/>
      <c r="J900" s="18"/>
      <c r="K900" s="18"/>
      <c r="L900" s="18"/>
      <c r="M900" s="18"/>
      <c r="N900" s="18"/>
      <c r="O900" s="18"/>
      <c r="S900" s="18"/>
      <c r="T900" s="20"/>
    </row>
    <row r="901" spans="7:20" x14ac:dyDescent="0.2">
      <c r="G901" s="18"/>
      <c r="H901" s="19"/>
      <c r="I901" s="18"/>
      <c r="J901" s="18"/>
      <c r="K901" s="18"/>
      <c r="L901" s="18"/>
      <c r="M901" s="18"/>
      <c r="N901" s="18"/>
      <c r="O901" s="18"/>
      <c r="S901" s="18"/>
      <c r="T901" s="20"/>
    </row>
    <row r="902" spans="7:20" x14ac:dyDescent="0.2">
      <c r="G902" s="18"/>
      <c r="H902" s="19"/>
      <c r="I902" s="18"/>
      <c r="J902" s="18"/>
      <c r="K902" s="18"/>
      <c r="L902" s="18"/>
      <c r="M902" s="18"/>
      <c r="N902" s="18"/>
      <c r="O902" s="18"/>
      <c r="S902" s="18"/>
      <c r="T902" s="20"/>
    </row>
    <row r="903" spans="7:20" x14ac:dyDescent="0.2">
      <c r="G903" s="18"/>
      <c r="H903" s="19"/>
      <c r="I903" s="18"/>
      <c r="J903" s="18"/>
      <c r="K903" s="18"/>
      <c r="L903" s="18"/>
      <c r="M903" s="18"/>
      <c r="N903" s="18"/>
      <c r="O903" s="18"/>
      <c r="S903" s="18"/>
      <c r="T903" s="20"/>
    </row>
    <row r="904" spans="7:20" x14ac:dyDescent="0.2">
      <c r="G904" s="18"/>
      <c r="H904" s="19"/>
      <c r="I904" s="18"/>
      <c r="J904" s="18"/>
      <c r="K904" s="18"/>
      <c r="L904" s="18"/>
      <c r="M904" s="18"/>
      <c r="N904" s="18"/>
      <c r="O904" s="18"/>
      <c r="S904" s="18"/>
      <c r="T904" s="20"/>
    </row>
    <row r="905" spans="7:20" x14ac:dyDescent="0.2">
      <c r="G905" s="18"/>
      <c r="H905" s="19"/>
      <c r="I905" s="18"/>
      <c r="J905" s="18"/>
      <c r="K905" s="18"/>
      <c r="L905" s="18"/>
      <c r="M905" s="18"/>
      <c r="N905" s="18"/>
      <c r="O905" s="18"/>
      <c r="S905" s="18"/>
      <c r="T905" s="20"/>
    </row>
    <row r="906" spans="7:20" x14ac:dyDescent="0.2">
      <c r="G906" s="18"/>
      <c r="H906" s="19"/>
      <c r="I906" s="18"/>
      <c r="J906" s="18"/>
      <c r="K906" s="18"/>
      <c r="L906" s="18"/>
      <c r="M906" s="18"/>
      <c r="N906" s="18"/>
      <c r="O906" s="18"/>
      <c r="S906" s="18"/>
      <c r="T906" s="20"/>
    </row>
    <row r="907" spans="7:20" x14ac:dyDescent="0.2">
      <c r="G907" s="18"/>
      <c r="H907" s="19"/>
      <c r="I907" s="18"/>
      <c r="J907" s="18"/>
      <c r="K907" s="18"/>
      <c r="L907" s="18"/>
      <c r="M907" s="18"/>
      <c r="N907" s="18"/>
      <c r="O907" s="18"/>
      <c r="S907" s="18"/>
      <c r="T907" s="20"/>
    </row>
    <row r="908" spans="7:20" x14ac:dyDescent="0.2">
      <c r="G908" s="18"/>
      <c r="H908" s="19"/>
      <c r="I908" s="18"/>
      <c r="J908" s="18"/>
      <c r="K908" s="18"/>
      <c r="L908" s="18"/>
      <c r="M908" s="18"/>
      <c r="N908" s="18"/>
      <c r="O908" s="18"/>
      <c r="S908" s="18"/>
      <c r="T908" s="20"/>
    </row>
    <row r="909" spans="7:20" x14ac:dyDescent="0.2">
      <c r="G909" s="18"/>
      <c r="H909" s="19"/>
      <c r="I909" s="18"/>
      <c r="J909" s="18"/>
      <c r="K909" s="18"/>
      <c r="L909" s="18"/>
      <c r="M909" s="18"/>
      <c r="N909" s="18"/>
      <c r="O909" s="18"/>
      <c r="S909" s="18"/>
      <c r="T909" s="20"/>
    </row>
    <row r="910" spans="7:20" x14ac:dyDescent="0.2">
      <c r="G910" s="18"/>
      <c r="H910" s="19"/>
      <c r="I910" s="18"/>
      <c r="J910" s="18"/>
      <c r="K910" s="18"/>
      <c r="L910" s="18"/>
      <c r="M910" s="18"/>
      <c r="N910" s="18"/>
      <c r="O910" s="18"/>
      <c r="S910" s="18"/>
      <c r="T910" s="20"/>
    </row>
    <row r="911" spans="7:20" x14ac:dyDescent="0.2">
      <c r="G911" s="18"/>
      <c r="H911" s="19"/>
      <c r="I911" s="18"/>
      <c r="J911" s="18"/>
      <c r="K911" s="18"/>
      <c r="L911" s="18"/>
      <c r="M911" s="18"/>
      <c r="N911" s="18"/>
      <c r="O911" s="18"/>
      <c r="S911" s="18"/>
      <c r="T911" s="20"/>
    </row>
    <row r="912" spans="7:20" x14ac:dyDescent="0.2">
      <c r="G912" s="18"/>
      <c r="H912" s="19"/>
      <c r="I912" s="18"/>
      <c r="J912" s="18"/>
      <c r="K912" s="18"/>
      <c r="L912" s="18"/>
      <c r="M912" s="18"/>
      <c r="N912" s="18"/>
      <c r="O912" s="18"/>
      <c r="S912" s="18"/>
      <c r="T912" s="20"/>
    </row>
    <row r="913" spans="7:20" x14ac:dyDescent="0.2">
      <c r="G913" s="18"/>
      <c r="H913" s="19"/>
      <c r="I913" s="18"/>
      <c r="J913" s="18"/>
      <c r="K913" s="18"/>
      <c r="L913" s="18"/>
      <c r="M913" s="18"/>
      <c r="N913" s="18"/>
      <c r="O913" s="18"/>
      <c r="S913" s="18"/>
      <c r="T913" s="20"/>
    </row>
    <row r="914" spans="7:20" x14ac:dyDescent="0.2">
      <c r="G914" s="18"/>
      <c r="H914" s="19"/>
      <c r="I914" s="18"/>
      <c r="J914" s="18"/>
      <c r="K914" s="18"/>
      <c r="L914" s="18"/>
      <c r="M914" s="18"/>
      <c r="N914" s="18"/>
      <c r="O914" s="18"/>
      <c r="S914" s="18"/>
      <c r="T914" s="20"/>
    </row>
    <row r="915" spans="7:20" x14ac:dyDescent="0.2">
      <c r="G915" s="18"/>
      <c r="H915" s="19"/>
      <c r="I915" s="18"/>
      <c r="J915" s="18"/>
      <c r="K915" s="18"/>
      <c r="L915" s="18"/>
      <c r="M915" s="18"/>
      <c r="N915" s="18"/>
      <c r="O915" s="18"/>
      <c r="S915" s="18"/>
      <c r="T915" s="20"/>
    </row>
    <row r="916" spans="7:20" x14ac:dyDescent="0.2">
      <c r="G916" s="18"/>
      <c r="H916" s="19"/>
      <c r="I916" s="18"/>
      <c r="J916" s="18"/>
      <c r="K916" s="18"/>
      <c r="L916" s="18"/>
      <c r="M916" s="18"/>
      <c r="N916" s="18"/>
      <c r="O916" s="18"/>
      <c r="S916" s="18"/>
      <c r="T916" s="20"/>
    </row>
    <row r="917" spans="7:20" x14ac:dyDescent="0.2">
      <c r="G917" s="18"/>
      <c r="H917" s="19"/>
      <c r="I917" s="18"/>
      <c r="J917" s="18"/>
      <c r="K917" s="18"/>
      <c r="L917" s="18"/>
      <c r="M917" s="18"/>
      <c r="N917" s="18"/>
      <c r="O917" s="18"/>
      <c r="S917" s="18"/>
      <c r="T917" s="20"/>
    </row>
    <row r="918" spans="7:20" x14ac:dyDescent="0.2">
      <c r="G918" s="18"/>
      <c r="H918" s="19"/>
      <c r="I918" s="18"/>
      <c r="J918" s="18"/>
      <c r="K918" s="18"/>
      <c r="L918" s="18"/>
      <c r="M918" s="18"/>
      <c r="N918" s="18"/>
      <c r="O918" s="18"/>
      <c r="S918" s="18"/>
      <c r="T918" s="20"/>
    </row>
    <row r="919" spans="7:20" x14ac:dyDescent="0.2">
      <c r="G919" s="18"/>
      <c r="H919" s="19"/>
      <c r="I919" s="18"/>
      <c r="J919" s="18"/>
      <c r="K919" s="18"/>
      <c r="L919" s="18"/>
      <c r="M919" s="18"/>
      <c r="N919" s="18"/>
      <c r="O919" s="18"/>
      <c r="S919" s="18"/>
      <c r="T919" s="20"/>
    </row>
    <row r="920" spans="7:20" x14ac:dyDescent="0.2">
      <c r="G920" s="18"/>
      <c r="H920" s="19"/>
      <c r="I920" s="18"/>
      <c r="J920" s="18"/>
      <c r="K920" s="18"/>
      <c r="L920" s="18"/>
      <c r="M920" s="18"/>
      <c r="N920" s="18"/>
      <c r="O920" s="18"/>
      <c r="S920" s="18"/>
      <c r="T920" s="20"/>
    </row>
    <row r="921" spans="7:20" x14ac:dyDescent="0.2">
      <c r="G921" s="18"/>
      <c r="H921" s="19"/>
      <c r="I921" s="18"/>
      <c r="J921" s="18"/>
      <c r="K921" s="18"/>
      <c r="L921" s="18"/>
      <c r="M921" s="18"/>
      <c r="N921" s="18"/>
      <c r="O921" s="18"/>
      <c r="S921" s="18"/>
      <c r="T921" s="20"/>
    </row>
    <row r="922" spans="7:20" x14ac:dyDescent="0.2">
      <c r="G922" s="18"/>
      <c r="H922" s="19"/>
      <c r="I922" s="18"/>
      <c r="J922" s="18"/>
      <c r="K922" s="18"/>
      <c r="L922" s="18"/>
      <c r="M922" s="18"/>
      <c r="N922" s="18"/>
      <c r="O922" s="18"/>
      <c r="S922" s="18"/>
      <c r="T922" s="20"/>
    </row>
    <row r="923" spans="7:20" x14ac:dyDescent="0.2">
      <c r="G923" s="18"/>
      <c r="H923" s="19"/>
      <c r="I923" s="18"/>
      <c r="J923" s="18"/>
      <c r="K923" s="18"/>
      <c r="L923" s="18"/>
      <c r="M923" s="18"/>
      <c r="N923" s="18"/>
      <c r="O923" s="18"/>
      <c r="S923" s="18"/>
      <c r="T923" s="20"/>
    </row>
    <row r="924" spans="7:20" x14ac:dyDescent="0.2">
      <c r="G924" s="18"/>
      <c r="H924" s="19"/>
      <c r="I924" s="18"/>
      <c r="J924" s="18"/>
      <c r="K924" s="18"/>
      <c r="L924" s="18"/>
      <c r="M924" s="18"/>
      <c r="N924" s="18"/>
      <c r="O924" s="18"/>
      <c r="S924" s="18"/>
      <c r="T924" s="20"/>
    </row>
    <row r="925" spans="7:20" x14ac:dyDescent="0.2">
      <c r="G925" s="18"/>
      <c r="H925" s="19"/>
      <c r="I925" s="18"/>
      <c r="J925" s="18"/>
      <c r="K925" s="18"/>
      <c r="L925" s="18"/>
      <c r="M925" s="18"/>
      <c r="N925" s="18"/>
      <c r="O925" s="18"/>
      <c r="S925" s="18"/>
      <c r="T925" s="20"/>
    </row>
    <row r="926" spans="7:20" x14ac:dyDescent="0.2">
      <c r="G926" s="18"/>
      <c r="H926" s="19"/>
      <c r="I926" s="18"/>
      <c r="J926" s="18"/>
      <c r="K926" s="18"/>
      <c r="L926" s="18"/>
      <c r="M926" s="18"/>
      <c r="N926" s="18"/>
      <c r="O926" s="18"/>
      <c r="S926" s="18"/>
      <c r="T926" s="20"/>
    </row>
    <row r="927" spans="7:20" x14ac:dyDescent="0.2">
      <c r="G927" s="18"/>
      <c r="H927" s="19"/>
      <c r="I927" s="18"/>
      <c r="J927" s="18"/>
      <c r="K927" s="18"/>
      <c r="L927" s="18"/>
      <c r="M927" s="18"/>
      <c r="N927" s="18"/>
      <c r="O927" s="18"/>
      <c r="S927" s="18"/>
      <c r="T927" s="20"/>
    </row>
    <row r="928" spans="7:20" x14ac:dyDescent="0.2">
      <c r="G928" s="18"/>
      <c r="H928" s="19"/>
      <c r="I928" s="18"/>
      <c r="J928" s="18"/>
      <c r="K928" s="18"/>
      <c r="L928" s="18"/>
      <c r="M928" s="18"/>
      <c r="N928" s="18"/>
      <c r="O928" s="18"/>
      <c r="S928" s="18"/>
      <c r="T928" s="20"/>
    </row>
    <row r="929" spans="7:20" x14ac:dyDescent="0.2">
      <c r="G929" s="18"/>
      <c r="H929" s="19"/>
      <c r="I929" s="18"/>
      <c r="J929" s="18"/>
      <c r="K929" s="18"/>
      <c r="L929" s="18"/>
      <c r="M929" s="18"/>
      <c r="N929" s="18"/>
      <c r="O929" s="18"/>
      <c r="S929" s="18"/>
      <c r="T929" s="20"/>
    </row>
    <row r="930" spans="7:20" x14ac:dyDescent="0.2">
      <c r="G930" s="18"/>
      <c r="H930" s="19"/>
      <c r="I930" s="18"/>
      <c r="J930" s="18"/>
      <c r="K930" s="18"/>
      <c r="L930" s="18"/>
      <c r="M930" s="18"/>
      <c r="N930" s="18"/>
      <c r="O930" s="18"/>
      <c r="S930" s="18"/>
      <c r="T930" s="20"/>
    </row>
    <row r="931" spans="7:20" x14ac:dyDescent="0.2">
      <c r="G931" s="18"/>
      <c r="H931" s="19"/>
      <c r="I931" s="18"/>
      <c r="J931" s="18"/>
      <c r="K931" s="18"/>
      <c r="L931" s="18"/>
      <c r="M931" s="18"/>
      <c r="N931" s="18"/>
      <c r="O931" s="18"/>
      <c r="S931" s="18"/>
      <c r="T931" s="20"/>
    </row>
    <row r="932" spans="7:20" x14ac:dyDescent="0.2">
      <c r="G932" s="18"/>
      <c r="H932" s="19"/>
      <c r="I932" s="18"/>
      <c r="J932" s="18"/>
      <c r="K932" s="18"/>
      <c r="L932" s="18"/>
      <c r="M932" s="18"/>
      <c r="N932" s="18"/>
      <c r="O932" s="18"/>
      <c r="S932" s="18"/>
      <c r="T932" s="20"/>
    </row>
    <row r="933" spans="7:20" x14ac:dyDescent="0.2">
      <c r="G933" s="18"/>
      <c r="H933" s="19"/>
      <c r="I933" s="18"/>
      <c r="J933" s="18"/>
      <c r="K933" s="18"/>
      <c r="L933" s="18"/>
      <c r="M933" s="18"/>
      <c r="N933" s="18"/>
      <c r="O933" s="18"/>
      <c r="S933" s="18"/>
      <c r="T933" s="20"/>
    </row>
    <row r="934" spans="7:20" x14ac:dyDescent="0.2">
      <c r="G934" s="18"/>
      <c r="H934" s="19"/>
      <c r="I934" s="18"/>
      <c r="J934" s="18"/>
      <c r="K934" s="18"/>
      <c r="L934" s="18"/>
      <c r="M934" s="18"/>
      <c r="N934" s="18"/>
      <c r="O934" s="18"/>
      <c r="S934" s="18"/>
      <c r="T934" s="20"/>
    </row>
    <row r="935" spans="7:20" x14ac:dyDescent="0.2">
      <c r="G935" s="18"/>
      <c r="H935" s="19"/>
      <c r="I935" s="18"/>
      <c r="J935" s="18"/>
      <c r="K935" s="18"/>
      <c r="L935" s="18"/>
      <c r="M935" s="18"/>
      <c r="N935" s="18"/>
      <c r="O935" s="18"/>
      <c r="S935" s="18"/>
      <c r="T935" s="20"/>
    </row>
    <row r="936" spans="7:20" x14ac:dyDescent="0.2">
      <c r="G936" s="18"/>
      <c r="H936" s="19"/>
      <c r="I936" s="18"/>
      <c r="J936" s="18"/>
      <c r="K936" s="18"/>
      <c r="L936" s="18"/>
      <c r="M936" s="18"/>
      <c r="N936" s="18"/>
      <c r="O936" s="18"/>
      <c r="S936" s="18"/>
      <c r="T936" s="20"/>
    </row>
    <row r="937" spans="7:20" x14ac:dyDescent="0.2">
      <c r="G937" s="18"/>
      <c r="H937" s="19"/>
      <c r="I937" s="18"/>
      <c r="J937" s="18"/>
      <c r="K937" s="18"/>
      <c r="L937" s="18"/>
      <c r="M937" s="18"/>
      <c r="N937" s="18"/>
      <c r="O937" s="18"/>
      <c r="S937" s="18"/>
      <c r="T937" s="20"/>
    </row>
    <row r="938" spans="7:20" x14ac:dyDescent="0.2">
      <c r="G938" s="18"/>
      <c r="H938" s="19"/>
      <c r="I938" s="18"/>
      <c r="J938" s="18"/>
      <c r="K938" s="18"/>
      <c r="L938" s="18"/>
      <c r="M938" s="18"/>
      <c r="N938" s="18"/>
      <c r="O938" s="18"/>
      <c r="S938" s="18"/>
      <c r="T938" s="20"/>
    </row>
    <row r="939" spans="7:20" x14ac:dyDescent="0.2">
      <c r="G939" s="18"/>
      <c r="H939" s="19"/>
      <c r="I939" s="18"/>
      <c r="J939" s="18"/>
      <c r="K939" s="18"/>
      <c r="L939" s="18"/>
      <c r="M939" s="18"/>
      <c r="N939" s="18"/>
      <c r="O939" s="18"/>
      <c r="S939" s="18"/>
      <c r="T939" s="20"/>
    </row>
    <row r="940" spans="7:20" x14ac:dyDescent="0.2">
      <c r="G940" s="18"/>
      <c r="H940" s="19"/>
      <c r="I940" s="18"/>
      <c r="J940" s="18"/>
      <c r="K940" s="18"/>
      <c r="L940" s="18"/>
      <c r="M940" s="18"/>
      <c r="N940" s="18"/>
      <c r="O940" s="18"/>
      <c r="S940" s="18"/>
      <c r="T940" s="20"/>
    </row>
    <row r="941" spans="7:20" x14ac:dyDescent="0.2">
      <c r="G941" s="18"/>
      <c r="H941" s="19"/>
      <c r="I941" s="18"/>
      <c r="J941" s="18"/>
      <c r="K941" s="18"/>
      <c r="L941" s="18"/>
      <c r="M941" s="18"/>
      <c r="N941" s="18"/>
      <c r="O941" s="18"/>
      <c r="S941" s="18"/>
      <c r="T941" s="20"/>
    </row>
    <row r="942" spans="7:20" x14ac:dyDescent="0.2">
      <c r="G942" s="18"/>
      <c r="H942" s="19"/>
      <c r="I942" s="18"/>
      <c r="J942" s="18"/>
      <c r="K942" s="18"/>
      <c r="L942" s="18"/>
      <c r="M942" s="18"/>
      <c r="N942" s="18"/>
      <c r="O942" s="18"/>
      <c r="S942" s="18"/>
      <c r="T942" s="20"/>
    </row>
    <row r="943" spans="7:20" x14ac:dyDescent="0.2">
      <c r="G943" s="18"/>
      <c r="H943" s="19"/>
      <c r="I943" s="18"/>
      <c r="J943" s="18"/>
      <c r="K943" s="18"/>
      <c r="L943" s="18"/>
      <c r="M943" s="18"/>
      <c r="N943" s="18"/>
      <c r="O943" s="18"/>
      <c r="S943" s="18"/>
      <c r="T943" s="20"/>
    </row>
    <row r="944" spans="7:20" x14ac:dyDescent="0.2">
      <c r="G944" s="18"/>
      <c r="H944" s="19"/>
      <c r="I944" s="18"/>
      <c r="J944" s="18"/>
      <c r="K944" s="18"/>
      <c r="L944" s="18"/>
      <c r="M944" s="18"/>
      <c r="N944" s="18"/>
      <c r="O944" s="18"/>
      <c r="S944" s="18"/>
      <c r="T944" s="20"/>
    </row>
    <row r="945" spans="7:20" x14ac:dyDescent="0.2">
      <c r="G945" s="18"/>
      <c r="H945" s="19"/>
      <c r="I945" s="18"/>
      <c r="J945" s="18"/>
      <c r="K945" s="18"/>
      <c r="L945" s="18"/>
      <c r="M945" s="18"/>
      <c r="N945" s="18"/>
      <c r="O945" s="18"/>
      <c r="S945" s="18"/>
      <c r="T945" s="20"/>
    </row>
    <row r="946" spans="7:20" x14ac:dyDescent="0.2">
      <c r="G946" s="18"/>
      <c r="H946" s="19"/>
      <c r="I946" s="18"/>
      <c r="J946" s="18"/>
      <c r="K946" s="18"/>
      <c r="L946" s="18"/>
      <c r="M946" s="18"/>
      <c r="N946" s="18"/>
      <c r="O946" s="18"/>
      <c r="S946" s="18"/>
      <c r="T946" s="20"/>
    </row>
    <row r="947" spans="7:20" x14ac:dyDescent="0.2">
      <c r="G947" s="18"/>
      <c r="H947" s="19"/>
      <c r="I947" s="18"/>
      <c r="J947" s="18"/>
      <c r="K947" s="18"/>
      <c r="L947" s="18"/>
      <c r="M947" s="18"/>
      <c r="N947" s="18"/>
      <c r="O947" s="18"/>
      <c r="S947" s="18"/>
      <c r="T947" s="20"/>
    </row>
    <row r="948" spans="7:20" x14ac:dyDescent="0.2">
      <c r="G948" s="18"/>
      <c r="H948" s="19"/>
      <c r="I948" s="18"/>
      <c r="J948" s="18"/>
      <c r="K948" s="18"/>
      <c r="L948" s="18"/>
      <c r="M948" s="18"/>
      <c r="N948" s="18"/>
      <c r="O948" s="18"/>
      <c r="S948" s="18"/>
      <c r="T948" s="20"/>
    </row>
    <row r="949" spans="7:20" x14ac:dyDescent="0.2">
      <c r="G949" s="18"/>
      <c r="H949" s="19"/>
      <c r="I949" s="18"/>
      <c r="J949" s="18"/>
      <c r="K949" s="18"/>
      <c r="L949" s="18"/>
      <c r="M949" s="18"/>
      <c r="N949" s="18"/>
      <c r="O949" s="18"/>
      <c r="S949" s="18"/>
      <c r="T949" s="20"/>
    </row>
    <row r="950" spans="7:20" x14ac:dyDescent="0.2">
      <c r="G950" s="18"/>
      <c r="H950" s="19"/>
      <c r="I950" s="18"/>
      <c r="J950" s="18"/>
      <c r="K950" s="18"/>
      <c r="L950" s="18"/>
      <c r="M950" s="18"/>
      <c r="N950" s="18"/>
      <c r="O950" s="18"/>
      <c r="S950" s="18"/>
      <c r="T950" s="20"/>
    </row>
    <row r="951" spans="7:20" x14ac:dyDescent="0.2">
      <c r="G951" s="18"/>
      <c r="H951" s="19"/>
      <c r="I951" s="18"/>
      <c r="J951" s="18"/>
      <c r="K951" s="18"/>
      <c r="L951" s="18"/>
      <c r="M951" s="18"/>
      <c r="N951" s="18"/>
      <c r="O951" s="18"/>
      <c r="S951" s="18"/>
      <c r="T951" s="20"/>
    </row>
    <row r="952" spans="7:20" x14ac:dyDescent="0.2">
      <c r="G952" s="18"/>
      <c r="H952" s="19"/>
      <c r="I952" s="18"/>
      <c r="J952" s="18"/>
      <c r="K952" s="18"/>
      <c r="L952" s="18"/>
      <c r="M952" s="18"/>
      <c r="N952" s="18"/>
      <c r="O952" s="18"/>
      <c r="S952" s="18"/>
      <c r="T952" s="20"/>
    </row>
    <row r="953" spans="7:20" x14ac:dyDescent="0.2">
      <c r="G953" s="18"/>
      <c r="H953" s="19"/>
      <c r="I953" s="18"/>
      <c r="J953" s="18"/>
      <c r="K953" s="18"/>
      <c r="L953" s="18"/>
      <c r="M953" s="18"/>
      <c r="N953" s="18"/>
      <c r="O953" s="18"/>
      <c r="S953" s="18"/>
      <c r="T953" s="20"/>
    </row>
    <row r="954" spans="7:20" x14ac:dyDescent="0.2">
      <c r="G954" s="18"/>
      <c r="H954" s="19"/>
      <c r="I954" s="18"/>
      <c r="J954" s="18"/>
      <c r="K954" s="18"/>
      <c r="L954" s="18"/>
      <c r="M954" s="18"/>
      <c r="N954" s="18"/>
      <c r="O954" s="18"/>
      <c r="S954" s="18"/>
      <c r="T954" s="20"/>
    </row>
    <row r="955" spans="7:20" x14ac:dyDescent="0.2">
      <c r="G955" s="18"/>
      <c r="H955" s="19"/>
      <c r="I955" s="18"/>
      <c r="J955" s="18"/>
      <c r="K955" s="18"/>
      <c r="L955" s="18"/>
      <c r="M955" s="18"/>
      <c r="N955" s="18"/>
      <c r="O955" s="18"/>
      <c r="S955" s="18"/>
      <c r="T955" s="20"/>
    </row>
    <row r="956" spans="7:20" x14ac:dyDescent="0.2">
      <c r="G956" s="18"/>
      <c r="H956" s="19"/>
      <c r="I956" s="18"/>
      <c r="J956" s="18"/>
      <c r="K956" s="18"/>
      <c r="L956" s="18"/>
      <c r="M956" s="18"/>
      <c r="N956" s="18"/>
      <c r="O956" s="18"/>
      <c r="S956" s="18"/>
      <c r="T956" s="20"/>
    </row>
    <row r="957" spans="7:20" x14ac:dyDescent="0.2">
      <c r="G957" s="18"/>
      <c r="H957" s="19"/>
      <c r="I957" s="18"/>
      <c r="J957" s="18"/>
      <c r="K957" s="18"/>
      <c r="L957" s="18"/>
      <c r="M957" s="18"/>
      <c r="N957" s="18"/>
      <c r="O957" s="18"/>
      <c r="S957" s="18"/>
      <c r="T957" s="20"/>
    </row>
    <row r="958" spans="7:20" x14ac:dyDescent="0.2">
      <c r="G958" s="18"/>
      <c r="H958" s="19"/>
      <c r="I958" s="18"/>
      <c r="J958" s="18"/>
      <c r="K958" s="18"/>
      <c r="L958" s="18"/>
      <c r="M958" s="18"/>
      <c r="N958" s="18"/>
      <c r="O958" s="18"/>
      <c r="S958" s="18"/>
      <c r="T958" s="20"/>
    </row>
    <row r="959" spans="7:20" x14ac:dyDescent="0.2">
      <c r="G959" s="18"/>
      <c r="H959" s="19"/>
      <c r="I959" s="18"/>
      <c r="J959" s="18"/>
      <c r="K959" s="18"/>
      <c r="L959" s="18"/>
      <c r="M959" s="18"/>
      <c r="N959" s="18"/>
      <c r="O959" s="18"/>
      <c r="S959" s="18"/>
      <c r="T959" s="20"/>
    </row>
    <row r="960" spans="7:20" x14ac:dyDescent="0.2">
      <c r="G960" s="18"/>
      <c r="H960" s="19"/>
      <c r="I960" s="18"/>
      <c r="J960" s="18"/>
      <c r="K960" s="18"/>
      <c r="L960" s="18"/>
      <c r="M960" s="18"/>
      <c r="N960" s="18"/>
      <c r="O960" s="18"/>
      <c r="S960" s="18"/>
      <c r="T960" s="20"/>
    </row>
    <row r="961" spans="7:20" x14ac:dyDescent="0.2">
      <c r="G961" s="18"/>
      <c r="H961" s="19"/>
      <c r="I961" s="18"/>
      <c r="J961" s="18"/>
      <c r="K961" s="18"/>
      <c r="L961" s="18"/>
      <c r="M961" s="18"/>
      <c r="N961" s="18"/>
      <c r="O961" s="18"/>
      <c r="S961" s="18"/>
      <c r="T961" s="20"/>
    </row>
    <row r="962" spans="7:20" x14ac:dyDescent="0.2">
      <c r="G962" s="18"/>
      <c r="H962" s="19"/>
      <c r="I962" s="18"/>
      <c r="J962" s="18"/>
      <c r="K962" s="18"/>
      <c r="L962" s="18"/>
      <c r="M962" s="18"/>
      <c r="N962" s="18"/>
      <c r="O962" s="18"/>
      <c r="S962" s="18"/>
      <c r="T962" s="20"/>
    </row>
    <row r="963" spans="7:20" x14ac:dyDescent="0.2">
      <c r="G963" s="18"/>
      <c r="H963" s="19"/>
      <c r="I963" s="18"/>
      <c r="J963" s="18"/>
      <c r="K963" s="18"/>
      <c r="L963" s="18"/>
      <c r="M963" s="18"/>
      <c r="N963" s="18"/>
      <c r="O963" s="18"/>
      <c r="S963" s="18"/>
      <c r="T963" s="20"/>
    </row>
    <row r="964" spans="7:20" x14ac:dyDescent="0.2">
      <c r="G964" s="18"/>
      <c r="H964" s="19"/>
      <c r="I964" s="18"/>
      <c r="J964" s="18"/>
      <c r="K964" s="18"/>
      <c r="L964" s="18"/>
      <c r="M964" s="18"/>
      <c r="N964" s="18"/>
      <c r="O964" s="18"/>
      <c r="S964" s="18"/>
      <c r="T964" s="20"/>
    </row>
    <row r="965" spans="7:20" x14ac:dyDescent="0.2">
      <c r="G965" s="18"/>
      <c r="H965" s="19"/>
      <c r="I965" s="18"/>
      <c r="J965" s="18"/>
      <c r="K965" s="18"/>
      <c r="L965" s="18"/>
      <c r="M965" s="18"/>
      <c r="N965" s="18"/>
      <c r="O965" s="18"/>
      <c r="S965" s="18"/>
      <c r="T965" s="20"/>
    </row>
    <row r="966" spans="7:20" x14ac:dyDescent="0.2">
      <c r="G966" s="18"/>
      <c r="H966" s="19"/>
      <c r="I966" s="18"/>
      <c r="J966" s="18"/>
      <c r="K966" s="18"/>
      <c r="L966" s="18"/>
      <c r="M966" s="18"/>
      <c r="N966" s="18"/>
      <c r="O966" s="18"/>
      <c r="S966" s="18"/>
      <c r="T966" s="20"/>
    </row>
    <row r="967" spans="7:20" x14ac:dyDescent="0.2">
      <c r="G967" s="18"/>
      <c r="H967" s="19"/>
      <c r="I967" s="18"/>
      <c r="J967" s="18"/>
      <c r="K967" s="18"/>
      <c r="L967" s="18"/>
      <c r="M967" s="18"/>
      <c r="N967" s="18"/>
      <c r="O967" s="18"/>
      <c r="S967" s="18"/>
      <c r="T967" s="20"/>
    </row>
    <row r="968" spans="7:20" x14ac:dyDescent="0.2">
      <c r="G968" s="18"/>
      <c r="H968" s="19"/>
      <c r="I968" s="18"/>
      <c r="J968" s="18"/>
      <c r="K968" s="18"/>
      <c r="L968" s="18"/>
      <c r="M968" s="18"/>
      <c r="N968" s="18"/>
      <c r="O968" s="18"/>
      <c r="S968" s="18"/>
      <c r="T968" s="20"/>
    </row>
    <row r="969" spans="7:20" x14ac:dyDescent="0.2">
      <c r="G969" s="18"/>
      <c r="H969" s="19"/>
      <c r="I969" s="18"/>
      <c r="J969" s="18"/>
      <c r="K969" s="18"/>
      <c r="L969" s="18"/>
      <c r="M969" s="18"/>
      <c r="N969" s="18"/>
      <c r="O969" s="18"/>
      <c r="S969" s="18"/>
      <c r="T969" s="20"/>
    </row>
    <row r="970" spans="7:20" x14ac:dyDescent="0.2">
      <c r="G970" s="18"/>
      <c r="H970" s="19"/>
      <c r="I970" s="18"/>
      <c r="J970" s="18"/>
      <c r="K970" s="18"/>
      <c r="L970" s="18"/>
      <c r="M970" s="18"/>
      <c r="N970" s="18"/>
      <c r="O970" s="18"/>
      <c r="S970" s="18"/>
      <c r="T970" s="20"/>
    </row>
    <row r="971" spans="7:20" x14ac:dyDescent="0.2">
      <c r="G971" s="18"/>
      <c r="H971" s="19"/>
      <c r="I971" s="18"/>
      <c r="J971" s="18"/>
      <c r="K971" s="18"/>
      <c r="L971" s="18"/>
      <c r="M971" s="18"/>
      <c r="N971" s="18"/>
      <c r="O971" s="18"/>
      <c r="S971" s="18"/>
      <c r="T971" s="20"/>
    </row>
    <row r="972" spans="7:20" x14ac:dyDescent="0.2">
      <c r="G972" s="18"/>
      <c r="H972" s="19"/>
      <c r="I972" s="18"/>
      <c r="J972" s="18"/>
      <c r="K972" s="18"/>
      <c r="L972" s="18"/>
      <c r="M972" s="18"/>
      <c r="N972" s="18"/>
      <c r="O972" s="18"/>
      <c r="S972" s="18"/>
      <c r="T972" s="20"/>
    </row>
    <row r="973" spans="7:20" x14ac:dyDescent="0.2">
      <c r="G973" s="18"/>
      <c r="H973" s="19"/>
      <c r="I973" s="18"/>
      <c r="J973" s="18"/>
      <c r="K973" s="18"/>
      <c r="L973" s="18"/>
      <c r="M973" s="18"/>
      <c r="N973" s="18"/>
      <c r="O973" s="18"/>
      <c r="S973" s="18"/>
      <c r="T973" s="20"/>
    </row>
    <row r="974" spans="7:20" x14ac:dyDescent="0.2">
      <c r="G974" s="18"/>
      <c r="H974" s="19"/>
      <c r="I974" s="18"/>
      <c r="J974" s="18"/>
      <c r="K974" s="18"/>
      <c r="L974" s="18"/>
      <c r="M974" s="18"/>
      <c r="N974" s="18"/>
      <c r="O974" s="18"/>
      <c r="S974" s="18"/>
      <c r="T974" s="20"/>
    </row>
    <row r="975" spans="7:20" x14ac:dyDescent="0.2">
      <c r="G975" s="18"/>
      <c r="H975" s="19"/>
      <c r="I975" s="18"/>
      <c r="J975" s="18"/>
      <c r="K975" s="18"/>
      <c r="L975" s="18"/>
      <c r="M975" s="18"/>
      <c r="N975" s="18"/>
      <c r="O975" s="18"/>
      <c r="S975" s="18"/>
      <c r="T975" s="20"/>
    </row>
    <row r="976" spans="7:20" x14ac:dyDescent="0.2">
      <c r="G976" s="18"/>
      <c r="H976" s="19"/>
      <c r="I976" s="18"/>
      <c r="J976" s="18"/>
      <c r="K976" s="18"/>
      <c r="L976" s="18"/>
      <c r="M976" s="18"/>
      <c r="N976" s="18"/>
      <c r="O976" s="18"/>
      <c r="S976" s="18"/>
      <c r="T976" s="20"/>
    </row>
    <row r="977" spans="7:20" x14ac:dyDescent="0.2">
      <c r="G977" s="18"/>
      <c r="H977" s="19"/>
      <c r="I977" s="18"/>
      <c r="J977" s="18"/>
      <c r="K977" s="18"/>
      <c r="L977" s="18"/>
      <c r="M977" s="18"/>
      <c r="N977" s="18"/>
      <c r="O977" s="18"/>
      <c r="S977" s="18"/>
      <c r="T977" s="20"/>
    </row>
    <row r="978" spans="7:20" x14ac:dyDescent="0.2">
      <c r="G978" s="18"/>
      <c r="H978" s="19"/>
      <c r="I978" s="18"/>
      <c r="J978" s="18"/>
      <c r="K978" s="18"/>
      <c r="L978" s="18"/>
      <c r="M978" s="18"/>
      <c r="N978" s="18"/>
      <c r="O978" s="18"/>
      <c r="S978" s="18"/>
      <c r="T978" s="20"/>
    </row>
    <row r="979" spans="7:20" x14ac:dyDescent="0.2">
      <c r="G979" s="18"/>
      <c r="H979" s="19"/>
      <c r="I979" s="18"/>
      <c r="J979" s="18"/>
      <c r="K979" s="18"/>
      <c r="L979" s="18"/>
      <c r="M979" s="18"/>
      <c r="N979" s="18"/>
      <c r="O979" s="18"/>
      <c r="S979" s="18"/>
      <c r="T979" s="20"/>
    </row>
    <row r="980" spans="7:20" x14ac:dyDescent="0.2">
      <c r="G980" s="18"/>
      <c r="H980" s="19"/>
      <c r="I980" s="18"/>
      <c r="J980" s="18"/>
      <c r="K980" s="18"/>
      <c r="L980" s="18"/>
      <c r="M980" s="18"/>
      <c r="N980" s="18"/>
      <c r="O980" s="18"/>
      <c r="S980" s="18"/>
      <c r="T980" s="20"/>
    </row>
    <row r="981" spans="7:20" x14ac:dyDescent="0.2">
      <c r="G981" s="18"/>
      <c r="H981" s="19"/>
      <c r="I981" s="18"/>
      <c r="J981" s="18"/>
      <c r="K981" s="18"/>
      <c r="L981" s="18"/>
      <c r="M981" s="18"/>
      <c r="N981" s="18"/>
      <c r="O981" s="18"/>
      <c r="S981" s="18"/>
      <c r="T981" s="20"/>
    </row>
    <row r="982" spans="7:20" x14ac:dyDescent="0.2">
      <c r="G982" s="18"/>
      <c r="H982" s="19"/>
      <c r="I982" s="18"/>
      <c r="J982" s="18"/>
      <c r="K982" s="18"/>
      <c r="L982" s="18"/>
      <c r="M982" s="18"/>
      <c r="N982" s="18"/>
      <c r="O982" s="18"/>
      <c r="S982" s="18"/>
      <c r="T982" s="20"/>
    </row>
    <row r="983" spans="7:20" x14ac:dyDescent="0.2">
      <c r="G983" s="18"/>
      <c r="H983" s="19"/>
      <c r="I983" s="18"/>
      <c r="J983" s="18"/>
      <c r="K983" s="18"/>
      <c r="L983" s="18"/>
      <c r="M983" s="18"/>
      <c r="N983" s="18"/>
      <c r="O983" s="18"/>
      <c r="S983" s="18"/>
      <c r="T983" s="20"/>
    </row>
    <row r="984" spans="7:20" x14ac:dyDescent="0.2">
      <c r="G984" s="18"/>
      <c r="H984" s="19"/>
      <c r="I984" s="18"/>
      <c r="J984" s="18"/>
      <c r="K984" s="18"/>
      <c r="L984" s="18"/>
      <c r="M984" s="18"/>
      <c r="N984" s="18"/>
      <c r="O984" s="18"/>
      <c r="S984" s="18"/>
      <c r="T984" s="20"/>
    </row>
    <row r="985" spans="7:20" x14ac:dyDescent="0.2">
      <c r="G985" s="18"/>
      <c r="H985" s="19"/>
      <c r="I985" s="18"/>
      <c r="J985" s="18"/>
      <c r="K985" s="18"/>
      <c r="L985" s="18"/>
      <c r="M985" s="18"/>
      <c r="N985" s="18"/>
      <c r="O985" s="18"/>
      <c r="S985" s="18"/>
      <c r="T985" s="20"/>
    </row>
    <row r="986" spans="7:20" x14ac:dyDescent="0.2">
      <c r="G986" s="18"/>
      <c r="H986" s="19"/>
      <c r="I986" s="18"/>
      <c r="J986" s="18"/>
      <c r="K986" s="18"/>
      <c r="L986" s="18"/>
      <c r="M986" s="18"/>
      <c r="N986" s="18"/>
      <c r="O986" s="18"/>
      <c r="S986" s="18"/>
      <c r="T986" s="20"/>
    </row>
    <row r="987" spans="7:20" x14ac:dyDescent="0.2">
      <c r="G987" s="18"/>
      <c r="H987" s="19"/>
      <c r="I987" s="18"/>
      <c r="J987" s="18"/>
      <c r="K987" s="18"/>
      <c r="L987" s="18"/>
      <c r="M987" s="18"/>
      <c r="N987" s="18"/>
      <c r="O987" s="18"/>
      <c r="S987" s="18"/>
      <c r="T987" s="20"/>
    </row>
    <row r="988" spans="7:20" x14ac:dyDescent="0.2">
      <c r="G988" s="18"/>
      <c r="H988" s="19"/>
      <c r="I988" s="18"/>
      <c r="J988" s="18"/>
      <c r="K988" s="18"/>
      <c r="L988" s="18"/>
      <c r="M988" s="18"/>
      <c r="N988" s="18"/>
      <c r="O988" s="18"/>
      <c r="S988" s="18"/>
      <c r="T988" s="20"/>
    </row>
    <row r="989" spans="7:20" x14ac:dyDescent="0.2">
      <c r="G989" s="18"/>
      <c r="H989" s="19"/>
      <c r="I989" s="18"/>
      <c r="J989" s="18"/>
      <c r="K989" s="18"/>
      <c r="L989" s="18"/>
      <c r="M989" s="18"/>
      <c r="N989" s="18"/>
      <c r="O989" s="18"/>
      <c r="S989" s="18"/>
      <c r="T989" s="20"/>
    </row>
    <row r="990" spans="7:20" x14ac:dyDescent="0.2">
      <c r="G990" s="18"/>
      <c r="H990" s="19"/>
      <c r="I990" s="18"/>
      <c r="J990" s="18"/>
      <c r="K990" s="18"/>
      <c r="L990" s="18"/>
      <c r="M990" s="18"/>
      <c r="N990" s="18"/>
      <c r="O990" s="18"/>
      <c r="S990" s="18"/>
      <c r="T990" s="20"/>
    </row>
    <row r="991" spans="7:20" x14ac:dyDescent="0.2">
      <c r="G991" s="18"/>
      <c r="H991" s="19"/>
      <c r="I991" s="18"/>
      <c r="J991" s="18"/>
      <c r="K991" s="18"/>
      <c r="L991" s="18"/>
      <c r="M991" s="18"/>
      <c r="N991" s="18"/>
      <c r="O991" s="18"/>
      <c r="S991" s="18"/>
      <c r="T991" s="20"/>
    </row>
    <row r="992" spans="7:20" x14ac:dyDescent="0.2">
      <c r="G992" s="18"/>
      <c r="H992" s="19"/>
      <c r="I992" s="18"/>
      <c r="J992" s="18"/>
      <c r="K992" s="18"/>
      <c r="L992" s="18"/>
      <c r="M992" s="18"/>
      <c r="N992" s="18"/>
      <c r="O992" s="18"/>
      <c r="S992" s="18"/>
      <c r="T992" s="20"/>
    </row>
    <row r="993" spans="7:20" x14ac:dyDescent="0.2">
      <c r="G993" s="18"/>
      <c r="H993" s="19"/>
      <c r="I993" s="18"/>
      <c r="J993" s="18"/>
      <c r="K993" s="18"/>
      <c r="L993" s="18"/>
      <c r="M993" s="18"/>
      <c r="N993" s="18"/>
      <c r="O993" s="18"/>
      <c r="S993" s="18"/>
      <c r="T993" s="20"/>
    </row>
    <row r="994" spans="7:20" x14ac:dyDescent="0.2">
      <c r="G994" s="18"/>
      <c r="H994" s="19"/>
      <c r="I994" s="18"/>
      <c r="J994" s="18"/>
      <c r="K994" s="18"/>
      <c r="L994" s="18"/>
      <c r="M994" s="18"/>
      <c r="N994" s="18"/>
      <c r="O994" s="18"/>
      <c r="S994" s="18"/>
      <c r="T994" s="20"/>
    </row>
    <row r="995" spans="7:20" x14ac:dyDescent="0.2">
      <c r="G995" s="18"/>
      <c r="H995" s="19"/>
      <c r="I995" s="18"/>
      <c r="J995" s="18"/>
      <c r="K995" s="18"/>
      <c r="L995" s="18"/>
      <c r="M995" s="18"/>
      <c r="N995" s="18"/>
      <c r="O995" s="18"/>
      <c r="S995" s="18"/>
      <c r="T995" s="20"/>
    </row>
    <row r="996" spans="7:20" x14ac:dyDescent="0.2">
      <c r="G996" s="18"/>
      <c r="H996" s="19"/>
      <c r="I996" s="18"/>
      <c r="J996" s="18"/>
      <c r="K996" s="18"/>
      <c r="L996" s="18"/>
      <c r="M996" s="18"/>
      <c r="N996" s="18"/>
      <c r="O996" s="18"/>
      <c r="S996" s="18"/>
      <c r="T996" s="20"/>
    </row>
    <row r="997" spans="7:20" x14ac:dyDescent="0.2">
      <c r="G997" s="18"/>
      <c r="H997" s="19"/>
      <c r="I997" s="18"/>
      <c r="J997" s="18"/>
      <c r="K997" s="18"/>
      <c r="L997" s="18"/>
      <c r="M997" s="18"/>
      <c r="N997" s="18"/>
      <c r="O997" s="18"/>
      <c r="S997" s="18"/>
      <c r="T997" s="20"/>
    </row>
    <row r="998" spans="7:20" x14ac:dyDescent="0.2">
      <c r="G998" s="18"/>
      <c r="H998" s="19"/>
      <c r="I998" s="18"/>
      <c r="J998" s="18"/>
      <c r="K998" s="18"/>
      <c r="L998" s="18"/>
      <c r="M998" s="18"/>
      <c r="N998" s="18"/>
      <c r="O998" s="18"/>
      <c r="S998" s="18"/>
      <c r="T998" s="20"/>
    </row>
    <row r="999" spans="7:20" x14ac:dyDescent="0.2">
      <c r="G999" s="18"/>
      <c r="H999" s="19"/>
      <c r="I999" s="18"/>
      <c r="J999" s="18"/>
      <c r="K999" s="18"/>
      <c r="L999" s="18"/>
      <c r="M999" s="18"/>
      <c r="N999" s="18"/>
      <c r="O999" s="18"/>
      <c r="S999" s="18"/>
      <c r="T999" s="20"/>
    </row>
    <row r="1000" spans="7:20" x14ac:dyDescent="0.2">
      <c r="G1000" s="18"/>
      <c r="H1000" s="19"/>
      <c r="I1000" s="18"/>
      <c r="J1000" s="18"/>
      <c r="K1000" s="18"/>
      <c r="L1000" s="18"/>
      <c r="M1000" s="18"/>
      <c r="N1000" s="18"/>
      <c r="O1000" s="18"/>
      <c r="S1000" s="18"/>
      <c r="T1000" s="20"/>
    </row>
    <row r="1001" spans="7:20" x14ac:dyDescent="0.2">
      <c r="G1001" s="18"/>
      <c r="H1001" s="19"/>
      <c r="I1001" s="18"/>
      <c r="J1001" s="18"/>
      <c r="K1001" s="18"/>
      <c r="L1001" s="18"/>
      <c r="M1001" s="18"/>
      <c r="N1001" s="18"/>
      <c r="O1001" s="18"/>
      <c r="S1001" s="18"/>
      <c r="T1001" s="20"/>
    </row>
    <row r="1002" spans="7:20" x14ac:dyDescent="0.2">
      <c r="G1002" s="18"/>
      <c r="H1002" s="19"/>
      <c r="I1002" s="18"/>
      <c r="J1002" s="18"/>
      <c r="K1002" s="18"/>
      <c r="L1002" s="18"/>
      <c r="M1002" s="18"/>
      <c r="N1002" s="18"/>
      <c r="O1002" s="18"/>
      <c r="S1002" s="18"/>
      <c r="T1002" s="20"/>
    </row>
    <row r="1003" spans="7:20" x14ac:dyDescent="0.2">
      <c r="G1003" s="18"/>
      <c r="H1003" s="19"/>
      <c r="I1003" s="18"/>
      <c r="J1003" s="18"/>
      <c r="K1003" s="18"/>
      <c r="L1003" s="18"/>
      <c r="M1003" s="18"/>
      <c r="N1003" s="18"/>
      <c r="O1003" s="18"/>
      <c r="S1003" s="18"/>
      <c r="T1003" s="20"/>
    </row>
    <row r="1004" spans="7:20" x14ac:dyDescent="0.2">
      <c r="G1004" s="18"/>
      <c r="H1004" s="19"/>
      <c r="I1004" s="18"/>
      <c r="J1004" s="18"/>
      <c r="K1004" s="18"/>
      <c r="L1004" s="18"/>
      <c r="M1004" s="18"/>
      <c r="N1004" s="18"/>
      <c r="O1004" s="18"/>
      <c r="S1004" s="18"/>
      <c r="T1004" s="20"/>
    </row>
    <row r="1005" spans="7:20" x14ac:dyDescent="0.2">
      <c r="G1005" s="18"/>
      <c r="H1005" s="19"/>
      <c r="I1005" s="18"/>
      <c r="J1005" s="18"/>
      <c r="K1005" s="18"/>
      <c r="L1005" s="18"/>
      <c r="M1005" s="18"/>
      <c r="N1005" s="18"/>
      <c r="O1005" s="18"/>
      <c r="S1005" s="18"/>
      <c r="T1005" s="20"/>
    </row>
    <row r="1006" spans="7:20" x14ac:dyDescent="0.2">
      <c r="G1006" s="18"/>
      <c r="H1006" s="19"/>
      <c r="I1006" s="18"/>
      <c r="J1006" s="18"/>
      <c r="K1006" s="18"/>
      <c r="L1006" s="18"/>
      <c r="M1006" s="18"/>
      <c r="N1006" s="18"/>
      <c r="O1006" s="18"/>
      <c r="S1006" s="18"/>
      <c r="T1006" s="20"/>
    </row>
    <row r="1007" spans="7:20" x14ac:dyDescent="0.2">
      <c r="G1007" s="18"/>
      <c r="H1007" s="19"/>
      <c r="I1007" s="18"/>
      <c r="J1007" s="18"/>
      <c r="K1007" s="18"/>
      <c r="L1007" s="18"/>
      <c r="M1007" s="18"/>
      <c r="N1007" s="18"/>
      <c r="O1007" s="18"/>
      <c r="S1007" s="18"/>
      <c r="T1007" s="20"/>
    </row>
    <row r="1008" spans="7:20" x14ac:dyDescent="0.2">
      <c r="G1008" s="18"/>
      <c r="H1008" s="19"/>
      <c r="I1008" s="18"/>
      <c r="J1008" s="18"/>
      <c r="K1008" s="18"/>
      <c r="L1008" s="18"/>
      <c r="M1008" s="18"/>
      <c r="N1008" s="18"/>
      <c r="O1008" s="18"/>
      <c r="S1008" s="18"/>
      <c r="T1008" s="20"/>
    </row>
    <row r="1009" spans="7:20" x14ac:dyDescent="0.2">
      <c r="G1009" s="18"/>
      <c r="H1009" s="19"/>
      <c r="I1009" s="18"/>
      <c r="J1009" s="18"/>
      <c r="K1009" s="18"/>
      <c r="L1009" s="18"/>
      <c r="M1009" s="18"/>
      <c r="N1009" s="18"/>
      <c r="O1009" s="18"/>
      <c r="S1009" s="18"/>
      <c r="T1009" s="20"/>
    </row>
    <row r="1010" spans="7:20" x14ac:dyDescent="0.2">
      <c r="G1010" s="18"/>
      <c r="H1010" s="19"/>
      <c r="I1010" s="18"/>
      <c r="J1010" s="18"/>
      <c r="K1010" s="18"/>
      <c r="L1010" s="18"/>
      <c r="M1010" s="18"/>
      <c r="N1010" s="18"/>
      <c r="O1010" s="18"/>
      <c r="S1010" s="18"/>
      <c r="T1010" s="20"/>
    </row>
    <row r="1011" spans="7:20" x14ac:dyDescent="0.2">
      <c r="G1011" s="18"/>
      <c r="H1011" s="19"/>
      <c r="I1011" s="18"/>
      <c r="J1011" s="18"/>
      <c r="K1011" s="18"/>
      <c r="L1011" s="18"/>
      <c r="M1011" s="18"/>
      <c r="N1011" s="18"/>
      <c r="O1011" s="18"/>
      <c r="S1011" s="18"/>
      <c r="T1011" s="20"/>
    </row>
    <row r="1012" spans="7:20" x14ac:dyDescent="0.2">
      <c r="G1012" s="18"/>
      <c r="H1012" s="19"/>
      <c r="I1012" s="18"/>
      <c r="J1012" s="18"/>
      <c r="K1012" s="18"/>
      <c r="L1012" s="18"/>
      <c r="M1012" s="18"/>
      <c r="N1012" s="18"/>
      <c r="O1012" s="18"/>
      <c r="S1012" s="18"/>
      <c r="T1012" s="20"/>
    </row>
    <row r="1013" spans="7:20" x14ac:dyDescent="0.2">
      <c r="G1013" s="18"/>
      <c r="H1013" s="19"/>
      <c r="I1013" s="18"/>
      <c r="J1013" s="18"/>
      <c r="K1013" s="18"/>
      <c r="L1013" s="18"/>
      <c r="M1013" s="18"/>
      <c r="N1013" s="18"/>
      <c r="O1013" s="18"/>
      <c r="S1013" s="18"/>
      <c r="T1013" s="20"/>
    </row>
    <row r="1014" spans="7:20" x14ac:dyDescent="0.2">
      <c r="G1014" s="18"/>
      <c r="H1014" s="19"/>
      <c r="I1014" s="18"/>
      <c r="J1014" s="18"/>
      <c r="K1014" s="18"/>
      <c r="L1014" s="18"/>
      <c r="M1014" s="18"/>
      <c r="N1014" s="18"/>
      <c r="O1014" s="18"/>
      <c r="S1014" s="18"/>
      <c r="T1014" s="20"/>
    </row>
    <row r="1015" spans="7:20" x14ac:dyDescent="0.2">
      <c r="G1015" s="18"/>
      <c r="H1015" s="19"/>
      <c r="I1015" s="18"/>
      <c r="J1015" s="18"/>
      <c r="K1015" s="18"/>
      <c r="L1015" s="18"/>
      <c r="M1015" s="18"/>
      <c r="N1015" s="18"/>
      <c r="O1015" s="18"/>
      <c r="S1015" s="18"/>
      <c r="T1015" s="20"/>
    </row>
    <row r="1016" spans="7:20" x14ac:dyDescent="0.2">
      <c r="G1016" s="18"/>
      <c r="H1016" s="19"/>
      <c r="I1016" s="18"/>
      <c r="J1016" s="18"/>
      <c r="K1016" s="18"/>
      <c r="L1016" s="18"/>
      <c r="M1016" s="18"/>
      <c r="N1016" s="18"/>
      <c r="O1016" s="18"/>
      <c r="S1016" s="18"/>
      <c r="T1016" s="20"/>
    </row>
    <row r="1017" spans="7:20" x14ac:dyDescent="0.2">
      <c r="G1017" s="18"/>
      <c r="H1017" s="19"/>
      <c r="I1017" s="18"/>
      <c r="J1017" s="18"/>
      <c r="K1017" s="18"/>
      <c r="L1017" s="18"/>
      <c r="M1017" s="18"/>
      <c r="N1017" s="18"/>
      <c r="O1017" s="18"/>
      <c r="S1017" s="18"/>
      <c r="T1017" s="20"/>
    </row>
    <row r="1018" spans="7:20" x14ac:dyDescent="0.2">
      <c r="G1018" s="18"/>
      <c r="H1018" s="19"/>
      <c r="I1018" s="18"/>
      <c r="J1018" s="18"/>
      <c r="K1018" s="18"/>
      <c r="L1018" s="18"/>
      <c r="M1018" s="18"/>
      <c r="N1018" s="18"/>
      <c r="O1018" s="18"/>
      <c r="S1018" s="18"/>
      <c r="T1018" s="20"/>
    </row>
    <row r="1019" spans="7:20" x14ac:dyDescent="0.2">
      <c r="G1019" s="18"/>
      <c r="H1019" s="19"/>
      <c r="I1019" s="18"/>
      <c r="J1019" s="18"/>
      <c r="K1019" s="18"/>
      <c r="L1019" s="18"/>
      <c r="M1019" s="18"/>
      <c r="N1019" s="18"/>
      <c r="O1019" s="18"/>
      <c r="S1019" s="18"/>
      <c r="T1019" s="20"/>
    </row>
    <row r="1020" spans="7:20" x14ac:dyDescent="0.2">
      <c r="G1020" s="18"/>
      <c r="H1020" s="19"/>
      <c r="I1020" s="18"/>
      <c r="J1020" s="18"/>
      <c r="K1020" s="18"/>
      <c r="L1020" s="18"/>
      <c r="M1020" s="18"/>
      <c r="N1020" s="18"/>
      <c r="O1020" s="18"/>
      <c r="S1020" s="18"/>
      <c r="T1020" s="20"/>
    </row>
    <row r="1021" spans="7:20" x14ac:dyDescent="0.2">
      <c r="G1021" s="18"/>
      <c r="H1021" s="19"/>
      <c r="I1021" s="18"/>
      <c r="J1021" s="18"/>
      <c r="K1021" s="18"/>
      <c r="L1021" s="18"/>
      <c r="M1021" s="18"/>
      <c r="N1021" s="18"/>
      <c r="O1021" s="18"/>
      <c r="S1021" s="18"/>
      <c r="T1021" s="20"/>
    </row>
    <row r="1022" spans="7:20" x14ac:dyDescent="0.2">
      <c r="G1022" s="18"/>
      <c r="H1022" s="19"/>
      <c r="I1022" s="18"/>
      <c r="J1022" s="18"/>
      <c r="K1022" s="18"/>
      <c r="L1022" s="18"/>
      <c r="M1022" s="18"/>
      <c r="N1022" s="18"/>
      <c r="O1022" s="18"/>
      <c r="S1022" s="18"/>
      <c r="T1022" s="20"/>
    </row>
    <row r="1023" spans="7:20" x14ac:dyDescent="0.2">
      <c r="G1023" s="18"/>
      <c r="H1023" s="19"/>
      <c r="I1023" s="18"/>
      <c r="J1023" s="18"/>
      <c r="K1023" s="18"/>
      <c r="L1023" s="18"/>
      <c r="M1023" s="18"/>
      <c r="N1023" s="18"/>
      <c r="O1023" s="18"/>
      <c r="S1023" s="18"/>
      <c r="T1023" s="20"/>
    </row>
    <row r="1024" spans="7:20" x14ac:dyDescent="0.2">
      <c r="G1024" s="18"/>
      <c r="H1024" s="19"/>
      <c r="I1024" s="18"/>
      <c r="J1024" s="18"/>
      <c r="K1024" s="18"/>
      <c r="L1024" s="18"/>
      <c r="M1024" s="18"/>
      <c r="N1024" s="18"/>
      <c r="O1024" s="18"/>
      <c r="S1024" s="18"/>
      <c r="T1024" s="20"/>
    </row>
    <row r="1025" spans="7:20" x14ac:dyDescent="0.2">
      <c r="G1025" s="18"/>
      <c r="H1025" s="19"/>
      <c r="I1025" s="18"/>
      <c r="J1025" s="18"/>
      <c r="K1025" s="18"/>
      <c r="L1025" s="18"/>
      <c r="M1025" s="18"/>
      <c r="N1025" s="18"/>
      <c r="O1025" s="18"/>
      <c r="S1025" s="18"/>
      <c r="T1025" s="20"/>
    </row>
    <row r="1026" spans="7:20" x14ac:dyDescent="0.2">
      <c r="G1026" s="18"/>
      <c r="H1026" s="19"/>
      <c r="I1026" s="18"/>
      <c r="J1026" s="18"/>
      <c r="K1026" s="18"/>
      <c r="L1026" s="18"/>
      <c r="M1026" s="18"/>
      <c r="N1026" s="18"/>
      <c r="O1026" s="18"/>
      <c r="S1026" s="18"/>
      <c r="T1026" s="20"/>
    </row>
    <row r="1027" spans="7:20" x14ac:dyDescent="0.2">
      <c r="G1027" s="18"/>
      <c r="H1027" s="19"/>
      <c r="I1027" s="18"/>
      <c r="J1027" s="18"/>
      <c r="K1027" s="18"/>
      <c r="L1027" s="18"/>
      <c r="M1027" s="18"/>
      <c r="N1027" s="18"/>
      <c r="O1027" s="18"/>
      <c r="S1027" s="18"/>
      <c r="T1027" s="20"/>
    </row>
    <row r="1028" spans="7:20" x14ac:dyDescent="0.2">
      <c r="G1028" s="18"/>
      <c r="H1028" s="19"/>
      <c r="I1028" s="18"/>
      <c r="J1028" s="18"/>
      <c r="K1028" s="18"/>
      <c r="L1028" s="18"/>
      <c r="M1028" s="18"/>
      <c r="N1028" s="18"/>
      <c r="O1028" s="18"/>
      <c r="S1028" s="18"/>
      <c r="T1028" s="20"/>
    </row>
    <row r="1029" spans="7:20" x14ac:dyDescent="0.2">
      <c r="G1029" s="18"/>
      <c r="H1029" s="19"/>
      <c r="I1029" s="18"/>
      <c r="J1029" s="18"/>
      <c r="K1029" s="18"/>
      <c r="L1029" s="18"/>
      <c r="M1029" s="18"/>
      <c r="N1029" s="18"/>
      <c r="O1029" s="18"/>
      <c r="S1029" s="18"/>
      <c r="T1029" s="20"/>
    </row>
    <row r="1030" spans="7:20" x14ac:dyDescent="0.2">
      <c r="G1030" s="18"/>
      <c r="H1030" s="19"/>
      <c r="I1030" s="18"/>
      <c r="J1030" s="18"/>
      <c r="K1030" s="18"/>
      <c r="L1030" s="18"/>
      <c r="M1030" s="18"/>
      <c r="N1030" s="18"/>
      <c r="O1030" s="18"/>
      <c r="S1030" s="18"/>
      <c r="T1030" s="20"/>
    </row>
    <row r="1031" spans="7:20" x14ac:dyDescent="0.2">
      <c r="G1031" s="18"/>
      <c r="H1031" s="19"/>
      <c r="I1031" s="18"/>
      <c r="J1031" s="18"/>
      <c r="K1031" s="18"/>
      <c r="L1031" s="18"/>
      <c r="M1031" s="18"/>
      <c r="N1031" s="18"/>
      <c r="O1031" s="18"/>
      <c r="S1031" s="18"/>
      <c r="T1031" s="20"/>
    </row>
    <row r="1032" spans="7:20" x14ac:dyDescent="0.2">
      <c r="G1032" s="18"/>
      <c r="H1032" s="19"/>
      <c r="I1032" s="18"/>
      <c r="J1032" s="18"/>
      <c r="K1032" s="18"/>
      <c r="L1032" s="18"/>
      <c r="M1032" s="18"/>
      <c r="N1032" s="18"/>
      <c r="O1032" s="18"/>
      <c r="S1032" s="18"/>
      <c r="T1032" s="20"/>
    </row>
    <row r="1033" spans="7:20" x14ac:dyDescent="0.2">
      <c r="G1033" s="18"/>
      <c r="H1033" s="19"/>
      <c r="I1033" s="18"/>
      <c r="J1033" s="18"/>
      <c r="K1033" s="18"/>
      <c r="L1033" s="18"/>
      <c r="M1033" s="18"/>
      <c r="N1033" s="18"/>
      <c r="O1033" s="18"/>
      <c r="S1033" s="18"/>
      <c r="T1033" s="20"/>
    </row>
    <row r="1034" spans="7:20" x14ac:dyDescent="0.2">
      <c r="G1034" s="18"/>
      <c r="H1034" s="19"/>
      <c r="I1034" s="18"/>
      <c r="J1034" s="18"/>
      <c r="K1034" s="18"/>
      <c r="L1034" s="18"/>
      <c r="M1034" s="18"/>
      <c r="N1034" s="18"/>
      <c r="O1034" s="18"/>
      <c r="S1034" s="18"/>
      <c r="T1034" s="20"/>
    </row>
    <row r="1035" spans="7:20" x14ac:dyDescent="0.2">
      <c r="G1035" s="18"/>
      <c r="H1035" s="19"/>
      <c r="I1035" s="18"/>
      <c r="J1035" s="18"/>
      <c r="K1035" s="18"/>
      <c r="L1035" s="18"/>
      <c r="M1035" s="18"/>
      <c r="N1035" s="18"/>
      <c r="O1035" s="18"/>
      <c r="S1035" s="18"/>
      <c r="T1035" s="20"/>
    </row>
    <row r="1036" spans="7:20" x14ac:dyDescent="0.2">
      <c r="G1036" s="18"/>
      <c r="H1036" s="19"/>
      <c r="I1036" s="18"/>
      <c r="J1036" s="18"/>
      <c r="K1036" s="18"/>
      <c r="L1036" s="18"/>
      <c r="M1036" s="18"/>
      <c r="N1036" s="18"/>
      <c r="O1036" s="18"/>
      <c r="S1036" s="18"/>
      <c r="T1036" s="20"/>
    </row>
    <row r="1037" spans="7:20" x14ac:dyDescent="0.2">
      <c r="G1037" s="18"/>
      <c r="H1037" s="19"/>
      <c r="I1037" s="18"/>
      <c r="J1037" s="18"/>
      <c r="K1037" s="18"/>
      <c r="L1037" s="18"/>
      <c r="M1037" s="18"/>
      <c r="N1037" s="18"/>
      <c r="O1037" s="18"/>
      <c r="S1037" s="18"/>
      <c r="T1037" s="20"/>
    </row>
    <row r="1038" spans="7:20" x14ac:dyDescent="0.2">
      <c r="G1038" s="18"/>
      <c r="H1038" s="19"/>
      <c r="I1038" s="18"/>
      <c r="J1038" s="18"/>
      <c r="K1038" s="18"/>
      <c r="L1038" s="18"/>
      <c r="M1038" s="18"/>
      <c r="N1038" s="18"/>
      <c r="O1038" s="18"/>
      <c r="S1038" s="18"/>
      <c r="T1038" s="20"/>
    </row>
    <row r="1039" spans="7:20" x14ac:dyDescent="0.2">
      <c r="G1039" s="18"/>
      <c r="H1039" s="19"/>
      <c r="I1039" s="18"/>
      <c r="J1039" s="18"/>
      <c r="K1039" s="18"/>
      <c r="L1039" s="18"/>
      <c r="M1039" s="18"/>
      <c r="N1039" s="18"/>
      <c r="O1039" s="18"/>
      <c r="S1039" s="18"/>
      <c r="T1039" s="20"/>
    </row>
    <row r="1040" spans="7:20" x14ac:dyDescent="0.2">
      <c r="G1040" s="18"/>
      <c r="H1040" s="19"/>
      <c r="I1040" s="18"/>
      <c r="J1040" s="18"/>
      <c r="K1040" s="18"/>
      <c r="L1040" s="18"/>
      <c r="M1040" s="18"/>
      <c r="N1040" s="18"/>
      <c r="O1040" s="18"/>
      <c r="S1040" s="18"/>
      <c r="T1040" s="20"/>
    </row>
    <row r="1041" spans="7:20" x14ac:dyDescent="0.2">
      <c r="G1041" s="18"/>
      <c r="H1041" s="19"/>
      <c r="I1041" s="18"/>
      <c r="J1041" s="18"/>
      <c r="K1041" s="18"/>
      <c r="L1041" s="18"/>
      <c r="M1041" s="18"/>
      <c r="N1041" s="18"/>
      <c r="O1041" s="18"/>
      <c r="S1041" s="18"/>
      <c r="T1041" s="20"/>
    </row>
    <row r="1042" spans="7:20" x14ac:dyDescent="0.2">
      <c r="G1042" s="18"/>
      <c r="H1042" s="19"/>
      <c r="I1042" s="18"/>
      <c r="J1042" s="18"/>
      <c r="K1042" s="18"/>
      <c r="L1042" s="18"/>
      <c r="M1042" s="18"/>
      <c r="N1042" s="18"/>
      <c r="O1042" s="18"/>
      <c r="S1042" s="18"/>
      <c r="T1042" s="20"/>
    </row>
    <row r="1043" spans="7:20" x14ac:dyDescent="0.2">
      <c r="G1043" s="18"/>
      <c r="H1043" s="19"/>
      <c r="I1043" s="18"/>
      <c r="J1043" s="18"/>
      <c r="K1043" s="18"/>
      <c r="L1043" s="18"/>
      <c r="M1043" s="18"/>
      <c r="N1043" s="18"/>
      <c r="O1043" s="18"/>
      <c r="S1043" s="18"/>
      <c r="T1043" s="20"/>
    </row>
    <row r="1044" spans="7:20" x14ac:dyDescent="0.2">
      <c r="G1044" s="18"/>
      <c r="H1044" s="19"/>
      <c r="I1044" s="18"/>
      <c r="J1044" s="18"/>
      <c r="K1044" s="18"/>
      <c r="L1044" s="18"/>
      <c r="M1044" s="18"/>
      <c r="N1044" s="18"/>
      <c r="O1044" s="18"/>
      <c r="S1044" s="18"/>
      <c r="T1044" s="20"/>
    </row>
    <row r="1045" spans="7:20" x14ac:dyDescent="0.2">
      <c r="G1045" s="18"/>
      <c r="H1045" s="19"/>
      <c r="I1045" s="18"/>
      <c r="J1045" s="18"/>
      <c r="K1045" s="18"/>
      <c r="L1045" s="18"/>
      <c r="M1045" s="18"/>
      <c r="N1045" s="18"/>
      <c r="O1045" s="18"/>
      <c r="S1045" s="18"/>
      <c r="T1045" s="20"/>
    </row>
    <row r="1046" spans="7:20" x14ac:dyDescent="0.2">
      <c r="G1046" s="18"/>
      <c r="H1046" s="19"/>
      <c r="I1046" s="18"/>
      <c r="J1046" s="18"/>
      <c r="K1046" s="18"/>
      <c r="L1046" s="18"/>
      <c r="M1046" s="18"/>
      <c r="N1046" s="18"/>
      <c r="O1046" s="18"/>
      <c r="S1046" s="18"/>
      <c r="T1046" s="20"/>
    </row>
    <row r="1047" spans="7:20" x14ac:dyDescent="0.2">
      <c r="G1047" s="18"/>
      <c r="H1047" s="19"/>
      <c r="I1047" s="18"/>
      <c r="J1047" s="18"/>
      <c r="K1047" s="18"/>
      <c r="L1047" s="18"/>
      <c r="M1047" s="18"/>
      <c r="N1047" s="18"/>
      <c r="O1047" s="18"/>
      <c r="S1047" s="18"/>
      <c r="T1047" s="20"/>
    </row>
    <row r="1048" spans="7:20" x14ac:dyDescent="0.2">
      <c r="G1048" s="18"/>
      <c r="H1048" s="19"/>
      <c r="I1048" s="18"/>
      <c r="J1048" s="18"/>
      <c r="K1048" s="18"/>
      <c r="L1048" s="18"/>
      <c r="M1048" s="18"/>
      <c r="N1048" s="18"/>
      <c r="O1048" s="18"/>
      <c r="S1048" s="18"/>
      <c r="T1048" s="20"/>
    </row>
    <row r="1049" spans="7:20" x14ac:dyDescent="0.2">
      <c r="G1049" s="18"/>
      <c r="H1049" s="19"/>
      <c r="I1049" s="18"/>
      <c r="J1049" s="18"/>
      <c r="K1049" s="18"/>
      <c r="L1049" s="18"/>
      <c r="M1049" s="18"/>
      <c r="N1049" s="18"/>
      <c r="O1049" s="18"/>
      <c r="S1049" s="18"/>
      <c r="T1049" s="20"/>
    </row>
    <row r="1050" spans="7:20" x14ac:dyDescent="0.2">
      <c r="G1050" s="18"/>
      <c r="H1050" s="19"/>
      <c r="I1050" s="18"/>
      <c r="J1050" s="18"/>
      <c r="K1050" s="18"/>
      <c r="L1050" s="18"/>
      <c r="M1050" s="18"/>
      <c r="N1050" s="18"/>
      <c r="O1050" s="18"/>
      <c r="S1050" s="18"/>
      <c r="T1050" s="20"/>
    </row>
    <row r="1051" spans="7:20" x14ac:dyDescent="0.2">
      <c r="G1051" s="18"/>
      <c r="H1051" s="19"/>
      <c r="I1051" s="18"/>
      <c r="J1051" s="18"/>
      <c r="K1051" s="18"/>
      <c r="L1051" s="18"/>
      <c r="M1051" s="18"/>
      <c r="N1051" s="18"/>
      <c r="O1051" s="18"/>
      <c r="S1051" s="18"/>
      <c r="T1051" s="20"/>
    </row>
    <row r="1052" spans="7:20" x14ac:dyDescent="0.2">
      <c r="G1052" s="18"/>
      <c r="H1052" s="19"/>
      <c r="I1052" s="18"/>
      <c r="J1052" s="18"/>
      <c r="K1052" s="18"/>
      <c r="L1052" s="18"/>
      <c r="M1052" s="18"/>
      <c r="N1052" s="18"/>
      <c r="O1052" s="18"/>
      <c r="S1052" s="18"/>
      <c r="T1052" s="20"/>
    </row>
    <row r="1053" spans="7:20" x14ac:dyDescent="0.2">
      <c r="G1053" s="18"/>
      <c r="H1053" s="19"/>
      <c r="I1053" s="18"/>
      <c r="J1053" s="18"/>
      <c r="K1053" s="18"/>
      <c r="L1053" s="18"/>
      <c r="M1053" s="18"/>
      <c r="N1053" s="18"/>
      <c r="O1053" s="18"/>
      <c r="S1053" s="18"/>
      <c r="T1053" s="20"/>
    </row>
    <row r="1054" spans="7:20" x14ac:dyDescent="0.2">
      <c r="G1054" s="18"/>
      <c r="H1054" s="19"/>
      <c r="I1054" s="18"/>
      <c r="J1054" s="18"/>
      <c r="K1054" s="18"/>
      <c r="L1054" s="18"/>
      <c r="M1054" s="18"/>
      <c r="N1054" s="18"/>
      <c r="O1054" s="18"/>
      <c r="S1054" s="18"/>
      <c r="T1054" s="20"/>
    </row>
    <row r="1055" spans="7:20" x14ac:dyDescent="0.2">
      <c r="G1055" s="18"/>
      <c r="H1055" s="19"/>
      <c r="I1055" s="18"/>
      <c r="J1055" s="18"/>
      <c r="K1055" s="18"/>
      <c r="L1055" s="18"/>
      <c r="M1055" s="18"/>
      <c r="N1055" s="18"/>
      <c r="O1055" s="18"/>
      <c r="S1055" s="18"/>
      <c r="T1055" s="20"/>
    </row>
    <row r="1056" spans="7:20" x14ac:dyDescent="0.2">
      <c r="G1056" s="18"/>
      <c r="H1056" s="19"/>
      <c r="I1056" s="18"/>
      <c r="J1056" s="18"/>
      <c r="K1056" s="18"/>
      <c r="L1056" s="18"/>
      <c r="M1056" s="18"/>
      <c r="N1056" s="18"/>
      <c r="O1056" s="18"/>
      <c r="S1056" s="18"/>
      <c r="T1056" s="20"/>
    </row>
    <row r="1057" spans="7:20" x14ac:dyDescent="0.2">
      <c r="G1057" s="18"/>
      <c r="H1057" s="19"/>
      <c r="I1057" s="18"/>
      <c r="J1057" s="18"/>
      <c r="K1057" s="18"/>
      <c r="L1057" s="18"/>
      <c r="M1057" s="18"/>
      <c r="N1057" s="18"/>
      <c r="O1057" s="18"/>
      <c r="S1057" s="18"/>
      <c r="T1057" s="20"/>
    </row>
    <row r="1058" spans="7:20" x14ac:dyDescent="0.2">
      <c r="G1058" s="18"/>
      <c r="H1058" s="19"/>
      <c r="I1058" s="18"/>
      <c r="J1058" s="18"/>
      <c r="K1058" s="18"/>
      <c r="L1058" s="18"/>
      <c r="M1058" s="18"/>
      <c r="N1058" s="18"/>
      <c r="O1058" s="18"/>
      <c r="S1058" s="18"/>
      <c r="T1058" s="20"/>
    </row>
    <row r="1059" spans="7:20" x14ac:dyDescent="0.2">
      <c r="G1059" s="18"/>
      <c r="H1059" s="19"/>
      <c r="I1059" s="18"/>
      <c r="J1059" s="18"/>
      <c r="K1059" s="18"/>
      <c r="L1059" s="18"/>
      <c r="M1059" s="18"/>
      <c r="N1059" s="18"/>
      <c r="O1059" s="18"/>
      <c r="S1059" s="18"/>
      <c r="T1059" s="20"/>
    </row>
    <row r="1060" spans="7:20" x14ac:dyDescent="0.2">
      <c r="G1060" s="18"/>
      <c r="H1060" s="19"/>
      <c r="I1060" s="18"/>
      <c r="J1060" s="18"/>
      <c r="K1060" s="18"/>
      <c r="L1060" s="18"/>
      <c r="M1060" s="18"/>
      <c r="N1060" s="18"/>
      <c r="O1060" s="18"/>
      <c r="S1060" s="18"/>
      <c r="T1060" s="20"/>
    </row>
    <row r="1061" spans="7:20" x14ac:dyDescent="0.2">
      <c r="G1061" s="18"/>
      <c r="H1061" s="19"/>
      <c r="I1061" s="18"/>
      <c r="J1061" s="18"/>
      <c r="K1061" s="18"/>
      <c r="L1061" s="18"/>
      <c r="M1061" s="18"/>
      <c r="N1061" s="18"/>
      <c r="O1061" s="18"/>
      <c r="S1061" s="18"/>
      <c r="T1061" s="20"/>
    </row>
    <row r="1062" spans="7:20" x14ac:dyDescent="0.2">
      <c r="G1062" s="18"/>
      <c r="H1062" s="19"/>
      <c r="I1062" s="18"/>
      <c r="J1062" s="18"/>
      <c r="K1062" s="18"/>
      <c r="L1062" s="18"/>
      <c r="M1062" s="18"/>
      <c r="N1062" s="18"/>
      <c r="O1062" s="18"/>
      <c r="S1062" s="18"/>
      <c r="T1062" s="20"/>
    </row>
    <row r="1063" spans="7:20" x14ac:dyDescent="0.2">
      <c r="G1063" s="18"/>
      <c r="H1063" s="19"/>
      <c r="I1063" s="18"/>
      <c r="J1063" s="18"/>
      <c r="K1063" s="18"/>
      <c r="L1063" s="18"/>
      <c r="M1063" s="18"/>
      <c r="N1063" s="18"/>
      <c r="O1063" s="18"/>
      <c r="S1063" s="18"/>
      <c r="T1063" s="20"/>
    </row>
    <row r="1064" spans="7:20" x14ac:dyDescent="0.2">
      <c r="G1064" s="18"/>
      <c r="H1064" s="19"/>
      <c r="I1064" s="18"/>
      <c r="J1064" s="18"/>
      <c r="K1064" s="18"/>
      <c r="L1064" s="18"/>
      <c r="M1064" s="18"/>
      <c r="N1064" s="18"/>
      <c r="O1064" s="18"/>
      <c r="S1064" s="18"/>
      <c r="T1064" s="20"/>
    </row>
    <row r="1065" spans="7:20" x14ac:dyDescent="0.2">
      <c r="G1065" s="18"/>
      <c r="H1065" s="19"/>
      <c r="I1065" s="18"/>
      <c r="J1065" s="18"/>
      <c r="K1065" s="18"/>
      <c r="L1065" s="18"/>
      <c r="M1065" s="18"/>
      <c r="N1065" s="18"/>
      <c r="O1065" s="18"/>
      <c r="S1065" s="18"/>
      <c r="T1065" s="20"/>
    </row>
    <row r="1066" spans="7:20" x14ac:dyDescent="0.2">
      <c r="G1066" s="18"/>
      <c r="H1066" s="19"/>
      <c r="I1066" s="18"/>
      <c r="J1066" s="18"/>
      <c r="K1066" s="18"/>
      <c r="L1066" s="18"/>
      <c r="M1066" s="18"/>
      <c r="N1066" s="18"/>
      <c r="O1066" s="18"/>
      <c r="S1066" s="18"/>
      <c r="T1066" s="20"/>
    </row>
    <row r="1067" spans="7:20" x14ac:dyDescent="0.2">
      <c r="G1067" s="18"/>
      <c r="H1067" s="19"/>
      <c r="I1067" s="18"/>
      <c r="J1067" s="18"/>
      <c r="K1067" s="18"/>
      <c r="L1067" s="18"/>
      <c r="M1067" s="18"/>
      <c r="N1067" s="18"/>
      <c r="O1067" s="18"/>
      <c r="S1067" s="18"/>
      <c r="T1067" s="20"/>
    </row>
    <row r="1068" spans="7:20" x14ac:dyDescent="0.2">
      <c r="G1068" s="18"/>
      <c r="H1068" s="19"/>
      <c r="I1068" s="18"/>
      <c r="J1068" s="18"/>
      <c r="K1068" s="18"/>
      <c r="L1068" s="18"/>
      <c r="M1068" s="18"/>
      <c r="N1068" s="18"/>
      <c r="O1068" s="18"/>
      <c r="S1068" s="18"/>
      <c r="T1068" s="20"/>
    </row>
    <row r="1069" spans="7:20" x14ac:dyDescent="0.2">
      <c r="G1069" s="18"/>
      <c r="H1069" s="19"/>
      <c r="I1069" s="18"/>
      <c r="J1069" s="18"/>
      <c r="K1069" s="18"/>
      <c r="L1069" s="18"/>
      <c r="M1069" s="18"/>
      <c r="N1069" s="18"/>
      <c r="O1069" s="18"/>
      <c r="S1069" s="18"/>
      <c r="T1069" s="20"/>
    </row>
    <row r="1070" spans="7:20" x14ac:dyDescent="0.2">
      <c r="G1070" s="18"/>
      <c r="H1070" s="19"/>
      <c r="I1070" s="18"/>
      <c r="J1070" s="18"/>
      <c r="K1070" s="18"/>
      <c r="L1070" s="18"/>
      <c r="M1070" s="18"/>
      <c r="N1070" s="18"/>
      <c r="O1070" s="18"/>
      <c r="S1070" s="18"/>
      <c r="T1070" s="20"/>
    </row>
    <row r="1071" spans="7:20" x14ac:dyDescent="0.2">
      <c r="G1071" s="18"/>
      <c r="H1071" s="19"/>
      <c r="I1071" s="18"/>
      <c r="J1071" s="18"/>
      <c r="K1071" s="18"/>
      <c r="L1071" s="18"/>
      <c r="M1071" s="18"/>
      <c r="N1071" s="18"/>
      <c r="O1071" s="18"/>
      <c r="S1071" s="18"/>
      <c r="T1071" s="20"/>
    </row>
    <row r="1072" spans="7:20" x14ac:dyDescent="0.2">
      <c r="G1072" s="18"/>
      <c r="H1072" s="19"/>
      <c r="I1072" s="18"/>
      <c r="J1072" s="18"/>
      <c r="K1072" s="18"/>
      <c r="L1072" s="18"/>
      <c r="M1072" s="18"/>
      <c r="N1072" s="18"/>
      <c r="O1072" s="18"/>
      <c r="S1072" s="18"/>
      <c r="T1072" s="20"/>
    </row>
    <row r="1073" spans="7:20" x14ac:dyDescent="0.2">
      <c r="G1073" s="18"/>
      <c r="H1073" s="19"/>
      <c r="I1073" s="18"/>
      <c r="J1073" s="18"/>
      <c r="K1073" s="18"/>
      <c r="L1073" s="18"/>
      <c r="M1073" s="18"/>
      <c r="N1073" s="18"/>
      <c r="O1073" s="18"/>
      <c r="S1073" s="18"/>
      <c r="T1073" s="20"/>
    </row>
    <row r="1074" spans="7:20" x14ac:dyDescent="0.2">
      <c r="G1074" s="18"/>
      <c r="H1074" s="19"/>
      <c r="I1074" s="18"/>
      <c r="J1074" s="18"/>
      <c r="K1074" s="18"/>
      <c r="L1074" s="18"/>
      <c r="M1074" s="18"/>
      <c r="N1074" s="18"/>
      <c r="O1074" s="18"/>
      <c r="S1074" s="18"/>
      <c r="T1074" s="20"/>
    </row>
    <row r="1075" spans="7:20" x14ac:dyDescent="0.2">
      <c r="G1075" s="18"/>
      <c r="H1075" s="19"/>
      <c r="I1075" s="18"/>
      <c r="J1075" s="18"/>
      <c r="K1075" s="18"/>
      <c r="L1075" s="18"/>
      <c r="M1075" s="18"/>
      <c r="N1075" s="18"/>
      <c r="O1075" s="18"/>
      <c r="S1075" s="18"/>
      <c r="T1075" s="20"/>
    </row>
    <row r="1076" spans="7:20" x14ac:dyDescent="0.2">
      <c r="G1076" s="18"/>
      <c r="H1076" s="19"/>
      <c r="I1076" s="18"/>
      <c r="J1076" s="18"/>
      <c r="K1076" s="18"/>
      <c r="L1076" s="18"/>
      <c r="M1076" s="18"/>
      <c r="N1076" s="18"/>
      <c r="O1076" s="18"/>
      <c r="S1076" s="18"/>
      <c r="T1076" s="20"/>
    </row>
    <row r="1077" spans="7:20" x14ac:dyDescent="0.2">
      <c r="G1077" s="18"/>
      <c r="H1077" s="19"/>
      <c r="I1077" s="18"/>
      <c r="J1077" s="18"/>
      <c r="K1077" s="18"/>
      <c r="L1077" s="18"/>
      <c r="M1077" s="18"/>
      <c r="N1077" s="18"/>
      <c r="O1077" s="18"/>
      <c r="S1077" s="18"/>
      <c r="T1077" s="20"/>
    </row>
    <row r="1078" spans="7:20" x14ac:dyDescent="0.2">
      <c r="G1078" s="18"/>
      <c r="H1078" s="19"/>
      <c r="I1078" s="18"/>
      <c r="J1078" s="18"/>
      <c r="K1078" s="18"/>
      <c r="L1078" s="18"/>
      <c r="M1078" s="18"/>
      <c r="N1078" s="18"/>
      <c r="O1078" s="18"/>
      <c r="S1078" s="18"/>
      <c r="T1078" s="20"/>
    </row>
    <row r="1079" spans="7:20" x14ac:dyDescent="0.2">
      <c r="G1079" s="18"/>
      <c r="H1079" s="19"/>
      <c r="I1079" s="18"/>
      <c r="J1079" s="18"/>
      <c r="K1079" s="18"/>
      <c r="L1079" s="18"/>
      <c r="M1079" s="18"/>
      <c r="N1079" s="18"/>
      <c r="O1079" s="18"/>
      <c r="S1079" s="18"/>
      <c r="T1079" s="20"/>
    </row>
    <row r="1080" spans="7:20" x14ac:dyDescent="0.2">
      <c r="G1080" s="18"/>
      <c r="H1080" s="19"/>
      <c r="I1080" s="18"/>
      <c r="J1080" s="18"/>
      <c r="K1080" s="18"/>
      <c r="L1080" s="18"/>
      <c r="M1080" s="18"/>
      <c r="N1080" s="18"/>
      <c r="O1080" s="18"/>
      <c r="S1080" s="18"/>
      <c r="T1080" s="20"/>
    </row>
    <row r="1081" spans="7:20" x14ac:dyDescent="0.2">
      <c r="G1081" s="18"/>
      <c r="H1081" s="19"/>
      <c r="I1081" s="18"/>
      <c r="J1081" s="18"/>
      <c r="K1081" s="18"/>
      <c r="L1081" s="18"/>
      <c r="M1081" s="18"/>
      <c r="N1081" s="18"/>
      <c r="O1081" s="18"/>
      <c r="S1081" s="18"/>
      <c r="T1081" s="20"/>
    </row>
    <row r="1082" spans="7:20" x14ac:dyDescent="0.2">
      <c r="G1082" s="18"/>
      <c r="H1082" s="19"/>
      <c r="I1082" s="18"/>
      <c r="J1082" s="18"/>
      <c r="K1082" s="18"/>
      <c r="L1082" s="18"/>
      <c r="M1082" s="18"/>
      <c r="N1082" s="18"/>
      <c r="O1082" s="18"/>
      <c r="S1082" s="18"/>
      <c r="T1082" s="20"/>
    </row>
    <row r="1083" spans="7:20" x14ac:dyDescent="0.2">
      <c r="G1083" s="18"/>
      <c r="H1083" s="19"/>
      <c r="I1083" s="18"/>
      <c r="J1083" s="18"/>
      <c r="K1083" s="18"/>
      <c r="L1083" s="18"/>
      <c r="M1083" s="18"/>
      <c r="N1083" s="18"/>
      <c r="O1083" s="18"/>
      <c r="S1083" s="18"/>
      <c r="T1083" s="20"/>
    </row>
    <row r="1084" spans="7:20" x14ac:dyDescent="0.2">
      <c r="G1084" s="18"/>
      <c r="H1084" s="19"/>
      <c r="I1084" s="18"/>
      <c r="J1084" s="18"/>
      <c r="K1084" s="18"/>
      <c r="L1084" s="18"/>
      <c r="M1084" s="18"/>
      <c r="N1084" s="18"/>
      <c r="O1084" s="18"/>
      <c r="S1084" s="18"/>
      <c r="T1084" s="20"/>
    </row>
    <row r="1085" spans="7:20" x14ac:dyDescent="0.2">
      <c r="G1085" s="18"/>
      <c r="H1085" s="19"/>
      <c r="I1085" s="18"/>
      <c r="J1085" s="18"/>
      <c r="K1085" s="18"/>
      <c r="L1085" s="18"/>
      <c r="M1085" s="18"/>
      <c r="N1085" s="18"/>
      <c r="O1085" s="18"/>
      <c r="S1085" s="18"/>
      <c r="T1085" s="20"/>
    </row>
    <row r="1086" spans="7:20" x14ac:dyDescent="0.2">
      <c r="G1086" s="18"/>
      <c r="H1086" s="19"/>
      <c r="I1086" s="18"/>
      <c r="J1086" s="18"/>
      <c r="K1086" s="18"/>
      <c r="L1086" s="18"/>
      <c r="M1086" s="18"/>
      <c r="N1086" s="18"/>
      <c r="O1086" s="18"/>
      <c r="S1086" s="18"/>
      <c r="T1086" s="20"/>
    </row>
    <row r="1087" spans="7:20" x14ac:dyDescent="0.2">
      <c r="G1087" s="18"/>
      <c r="H1087" s="19"/>
      <c r="I1087" s="18"/>
      <c r="J1087" s="18"/>
      <c r="K1087" s="18"/>
      <c r="L1087" s="18"/>
      <c r="M1087" s="18"/>
      <c r="N1087" s="18"/>
      <c r="O1087" s="18"/>
      <c r="S1087" s="18"/>
      <c r="T1087" s="20"/>
    </row>
    <row r="1088" spans="7:20" x14ac:dyDescent="0.2">
      <c r="G1088" s="18"/>
      <c r="H1088" s="19"/>
      <c r="I1088" s="18"/>
      <c r="J1088" s="18"/>
      <c r="K1088" s="18"/>
      <c r="L1088" s="18"/>
      <c r="M1088" s="18"/>
      <c r="N1088" s="18"/>
      <c r="O1088" s="18"/>
      <c r="S1088" s="18"/>
      <c r="T1088" s="20"/>
    </row>
    <row r="1089" spans="7:20" x14ac:dyDescent="0.2">
      <c r="G1089" s="18"/>
      <c r="H1089" s="19"/>
      <c r="I1089" s="18"/>
      <c r="J1089" s="18"/>
      <c r="K1089" s="18"/>
      <c r="L1089" s="18"/>
      <c r="M1089" s="18"/>
      <c r="N1089" s="18"/>
      <c r="O1089" s="18"/>
      <c r="S1089" s="18"/>
      <c r="T1089" s="20"/>
    </row>
    <row r="1090" spans="7:20" x14ac:dyDescent="0.2">
      <c r="G1090" s="18"/>
      <c r="H1090" s="19"/>
      <c r="I1090" s="18"/>
      <c r="J1090" s="18"/>
      <c r="K1090" s="18"/>
      <c r="L1090" s="18"/>
      <c r="M1090" s="18"/>
      <c r="N1090" s="18"/>
      <c r="O1090" s="18"/>
      <c r="S1090" s="18"/>
      <c r="T1090" s="20"/>
    </row>
    <row r="1091" spans="7:20" x14ac:dyDescent="0.2">
      <c r="G1091" s="18"/>
      <c r="H1091" s="19"/>
      <c r="I1091" s="18"/>
      <c r="J1091" s="18"/>
      <c r="K1091" s="18"/>
      <c r="L1091" s="18"/>
      <c r="M1091" s="18"/>
      <c r="N1091" s="18"/>
      <c r="O1091" s="18"/>
      <c r="S1091" s="18"/>
      <c r="T1091" s="20"/>
    </row>
    <row r="1092" spans="7:20" x14ac:dyDescent="0.2">
      <c r="G1092" s="18"/>
      <c r="H1092" s="19"/>
      <c r="I1092" s="18"/>
      <c r="J1092" s="18"/>
      <c r="K1092" s="18"/>
      <c r="L1092" s="18"/>
      <c r="M1092" s="18"/>
      <c r="N1092" s="18"/>
      <c r="O1092" s="18"/>
      <c r="S1092" s="18"/>
      <c r="T1092" s="20"/>
    </row>
    <row r="1093" spans="7:20" x14ac:dyDescent="0.2">
      <c r="G1093" s="18"/>
      <c r="H1093" s="19"/>
      <c r="I1093" s="18"/>
      <c r="J1093" s="18"/>
      <c r="K1093" s="18"/>
      <c r="L1093" s="18"/>
      <c r="M1093" s="18"/>
      <c r="N1093" s="18"/>
      <c r="O1093" s="18"/>
      <c r="S1093" s="18"/>
      <c r="T1093" s="20"/>
    </row>
    <row r="1094" spans="7:20" x14ac:dyDescent="0.2">
      <c r="G1094" s="18"/>
      <c r="H1094" s="19"/>
      <c r="I1094" s="18"/>
      <c r="J1094" s="18"/>
      <c r="K1094" s="18"/>
      <c r="L1094" s="18"/>
      <c r="M1094" s="18"/>
      <c r="N1094" s="18"/>
      <c r="O1094" s="18"/>
      <c r="S1094" s="18"/>
      <c r="T1094" s="20"/>
    </row>
    <row r="1095" spans="7:20" x14ac:dyDescent="0.2">
      <c r="G1095" s="18"/>
      <c r="H1095" s="19"/>
      <c r="I1095" s="18"/>
      <c r="J1095" s="18"/>
      <c r="K1095" s="18"/>
      <c r="L1095" s="18"/>
      <c r="M1095" s="18"/>
      <c r="N1095" s="18"/>
      <c r="O1095" s="18"/>
      <c r="S1095" s="18"/>
      <c r="T1095" s="20"/>
    </row>
    <row r="1096" spans="7:20" x14ac:dyDescent="0.2">
      <c r="G1096" s="18"/>
      <c r="H1096" s="19"/>
      <c r="I1096" s="18"/>
      <c r="J1096" s="18"/>
      <c r="K1096" s="18"/>
      <c r="L1096" s="18"/>
      <c r="M1096" s="18"/>
      <c r="N1096" s="18"/>
      <c r="O1096" s="18"/>
      <c r="S1096" s="18"/>
      <c r="T1096" s="20"/>
    </row>
    <row r="1097" spans="7:20" x14ac:dyDescent="0.2">
      <c r="G1097" s="18"/>
      <c r="H1097" s="19"/>
      <c r="I1097" s="18"/>
      <c r="J1097" s="18"/>
      <c r="K1097" s="18"/>
      <c r="L1097" s="18"/>
      <c r="M1097" s="18"/>
      <c r="N1097" s="18"/>
      <c r="O1097" s="18"/>
      <c r="S1097" s="18"/>
      <c r="T1097" s="20"/>
    </row>
    <row r="1098" spans="7:20" x14ac:dyDescent="0.2">
      <c r="G1098" s="18"/>
      <c r="H1098" s="19"/>
      <c r="I1098" s="18"/>
      <c r="J1098" s="18"/>
      <c r="K1098" s="18"/>
      <c r="L1098" s="18"/>
      <c r="M1098" s="18"/>
      <c r="N1098" s="18"/>
      <c r="O1098" s="18"/>
      <c r="S1098" s="18"/>
      <c r="T1098" s="20"/>
    </row>
    <row r="1099" spans="7:20" x14ac:dyDescent="0.2">
      <c r="G1099" s="18"/>
      <c r="H1099" s="19"/>
      <c r="I1099" s="18"/>
      <c r="J1099" s="18"/>
      <c r="K1099" s="18"/>
      <c r="L1099" s="18"/>
      <c r="M1099" s="18"/>
      <c r="N1099" s="18"/>
      <c r="O1099" s="18"/>
      <c r="S1099" s="18"/>
      <c r="T1099" s="20"/>
    </row>
    <row r="1100" spans="7:20" x14ac:dyDescent="0.2">
      <c r="G1100" s="18"/>
      <c r="H1100" s="19"/>
      <c r="I1100" s="18"/>
      <c r="J1100" s="18"/>
      <c r="K1100" s="18"/>
      <c r="L1100" s="18"/>
      <c r="M1100" s="18"/>
      <c r="N1100" s="18"/>
      <c r="O1100" s="18"/>
      <c r="S1100" s="18"/>
      <c r="T1100" s="20"/>
    </row>
    <row r="1101" spans="7:20" x14ac:dyDescent="0.2">
      <c r="G1101" s="18"/>
      <c r="H1101" s="19"/>
      <c r="I1101" s="18"/>
      <c r="J1101" s="18"/>
      <c r="K1101" s="18"/>
      <c r="L1101" s="18"/>
      <c r="M1101" s="18"/>
      <c r="N1101" s="18"/>
      <c r="O1101" s="18"/>
      <c r="S1101" s="18"/>
      <c r="T1101" s="20"/>
    </row>
    <row r="1102" spans="7:20" x14ac:dyDescent="0.2">
      <c r="G1102" s="18"/>
      <c r="H1102" s="19"/>
      <c r="I1102" s="18"/>
      <c r="J1102" s="18"/>
      <c r="K1102" s="18"/>
      <c r="L1102" s="18"/>
      <c r="M1102" s="18"/>
      <c r="N1102" s="18"/>
      <c r="O1102" s="18"/>
      <c r="S1102" s="18"/>
      <c r="T1102" s="20"/>
    </row>
    <row r="1103" spans="7:20" x14ac:dyDescent="0.2">
      <c r="G1103" s="18"/>
      <c r="H1103" s="19"/>
      <c r="I1103" s="18"/>
      <c r="J1103" s="18"/>
      <c r="K1103" s="18"/>
      <c r="L1103" s="18"/>
      <c r="M1103" s="18"/>
      <c r="N1103" s="18"/>
      <c r="O1103" s="18"/>
      <c r="S1103" s="18"/>
      <c r="T1103" s="20"/>
    </row>
    <row r="1104" spans="7:20" x14ac:dyDescent="0.2">
      <c r="G1104" s="18"/>
      <c r="H1104" s="19"/>
      <c r="I1104" s="18"/>
      <c r="J1104" s="18"/>
      <c r="K1104" s="18"/>
      <c r="L1104" s="18"/>
      <c r="M1104" s="18"/>
      <c r="N1104" s="18"/>
      <c r="O1104" s="18"/>
      <c r="S1104" s="18"/>
      <c r="T1104" s="20"/>
    </row>
    <row r="1105" spans="7:20" x14ac:dyDescent="0.2">
      <c r="G1105" s="18"/>
      <c r="H1105" s="19"/>
      <c r="I1105" s="18"/>
      <c r="J1105" s="18"/>
      <c r="K1105" s="18"/>
      <c r="L1105" s="18"/>
      <c r="M1105" s="18"/>
      <c r="N1105" s="18"/>
      <c r="O1105" s="18"/>
      <c r="S1105" s="18"/>
      <c r="T1105" s="20"/>
    </row>
    <row r="1106" spans="7:20" x14ac:dyDescent="0.2">
      <c r="G1106" s="18"/>
      <c r="H1106" s="19"/>
      <c r="I1106" s="18"/>
      <c r="J1106" s="18"/>
      <c r="K1106" s="18"/>
      <c r="L1106" s="18"/>
      <c r="M1106" s="18"/>
      <c r="N1106" s="18"/>
      <c r="O1106" s="18"/>
      <c r="S1106" s="18"/>
      <c r="T1106" s="20"/>
    </row>
    <row r="1107" spans="7:20" x14ac:dyDescent="0.2">
      <c r="G1107" s="18"/>
      <c r="H1107" s="19"/>
      <c r="I1107" s="18"/>
      <c r="J1107" s="18"/>
      <c r="K1107" s="18"/>
      <c r="L1107" s="18"/>
      <c r="M1107" s="18"/>
      <c r="N1107" s="18"/>
      <c r="O1107" s="18"/>
      <c r="S1107" s="18"/>
      <c r="T1107" s="20"/>
    </row>
    <row r="1108" spans="7:20" x14ac:dyDescent="0.2">
      <c r="G1108" s="18"/>
      <c r="H1108" s="19"/>
      <c r="I1108" s="18"/>
      <c r="J1108" s="18"/>
      <c r="K1108" s="18"/>
      <c r="L1108" s="18"/>
      <c r="M1108" s="18"/>
      <c r="N1108" s="18"/>
      <c r="O1108" s="18"/>
      <c r="S1108" s="18"/>
      <c r="T1108" s="20"/>
    </row>
    <row r="1109" spans="7:20" x14ac:dyDescent="0.2">
      <c r="G1109" s="18"/>
      <c r="H1109" s="19"/>
      <c r="I1109" s="18"/>
      <c r="J1109" s="18"/>
      <c r="K1109" s="18"/>
      <c r="L1109" s="18"/>
      <c r="M1109" s="18"/>
      <c r="N1109" s="18"/>
      <c r="O1109" s="18"/>
      <c r="S1109" s="18"/>
      <c r="T1109" s="20"/>
    </row>
    <row r="1110" spans="7:20" x14ac:dyDescent="0.2">
      <c r="G1110" s="18"/>
      <c r="H1110" s="19"/>
      <c r="I1110" s="18"/>
      <c r="J1110" s="18"/>
      <c r="K1110" s="18"/>
      <c r="L1110" s="18"/>
      <c r="M1110" s="18"/>
      <c r="N1110" s="18"/>
      <c r="O1110" s="18"/>
      <c r="S1110" s="18"/>
      <c r="T1110" s="20"/>
    </row>
    <row r="1111" spans="7:20" x14ac:dyDescent="0.2">
      <c r="G1111" s="18"/>
      <c r="H1111" s="19"/>
      <c r="I1111" s="18"/>
      <c r="J1111" s="18"/>
      <c r="K1111" s="18"/>
      <c r="L1111" s="18"/>
      <c r="M1111" s="18"/>
      <c r="N1111" s="18"/>
      <c r="O1111" s="18"/>
      <c r="S1111" s="18"/>
      <c r="T1111" s="20"/>
    </row>
    <row r="1112" spans="7:20" x14ac:dyDescent="0.2">
      <c r="G1112" s="18"/>
      <c r="H1112" s="19"/>
      <c r="I1112" s="18"/>
      <c r="J1112" s="18"/>
      <c r="K1112" s="18"/>
      <c r="L1112" s="18"/>
      <c r="M1112" s="18"/>
      <c r="N1112" s="18"/>
      <c r="O1112" s="18"/>
      <c r="S1112" s="18"/>
      <c r="T1112" s="20"/>
    </row>
    <row r="1113" spans="7:20" x14ac:dyDescent="0.2">
      <c r="G1113" s="18"/>
      <c r="H1113" s="19"/>
      <c r="I1113" s="18"/>
      <c r="J1113" s="18"/>
      <c r="K1113" s="18"/>
      <c r="L1113" s="18"/>
      <c r="M1113" s="18"/>
      <c r="N1113" s="18"/>
      <c r="O1113" s="18"/>
      <c r="S1113" s="18"/>
      <c r="T1113" s="20"/>
    </row>
    <row r="1114" spans="7:20" x14ac:dyDescent="0.2">
      <c r="G1114" s="18"/>
      <c r="H1114" s="19"/>
      <c r="I1114" s="18"/>
      <c r="J1114" s="18"/>
      <c r="K1114" s="18"/>
      <c r="L1114" s="18"/>
      <c r="M1114" s="18"/>
      <c r="N1114" s="18"/>
      <c r="O1114" s="18"/>
      <c r="S1114" s="18"/>
      <c r="T1114" s="20"/>
    </row>
    <row r="1115" spans="7:20" x14ac:dyDescent="0.2">
      <c r="G1115" s="18"/>
      <c r="H1115" s="19"/>
      <c r="I1115" s="18"/>
      <c r="J1115" s="18"/>
      <c r="K1115" s="18"/>
      <c r="L1115" s="18"/>
      <c r="M1115" s="18"/>
      <c r="N1115" s="18"/>
      <c r="O1115" s="18"/>
      <c r="S1115" s="18"/>
      <c r="T1115" s="20"/>
    </row>
    <row r="1116" spans="7:20" x14ac:dyDescent="0.2">
      <c r="G1116" s="18"/>
      <c r="H1116" s="19"/>
      <c r="I1116" s="18"/>
      <c r="J1116" s="18"/>
      <c r="K1116" s="18"/>
      <c r="L1116" s="18"/>
      <c r="M1116" s="18"/>
      <c r="N1116" s="18"/>
      <c r="O1116" s="18"/>
      <c r="S1116" s="18"/>
      <c r="T1116" s="20"/>
    </row>
    <row r="1117" spans="7:20" x14ac:dyDescent="0.2">
      <c r="G1117" s="18"/>
      <c r="H1117" s="19"/>
      <c r="I1117" s="18"/>
      <c r="J1117" s="18"/>
      <c r="K1117" s="18"/>
      <c r="L1117" s="18"/>
      <c r="M1117" s="18"/>
      <c r="N1117" s="18"/>
      <c r="O1117" s="18"/>
      <c r="S1117" s="18"/>
      <c r="T1117" s="20"/>
    </row>
    <row r="1118" spans="7:20" x14ac:dyDescent="0.2">
      <c r="G1118" s="18"/>
      <c r="H1118" s="19"/>
      <c r="I1118" s="18"/>
      <c r="J1118" s="18"/>
      <c r="K1118" s="18"/>
      <c r="L1118" s="18"/>
      <c r="M1118" s="18"/>
      <c r="N1118" s="18"/>
      <c r="O1118" s="18"/>
      <c r="S1118" s="18"/>
      <c r="T1118" s="20"/>
    </row>
    <row r="1119" spans="7:20" x14ac:dyDescent="0.2">
      <c r="G1119" s="18"/>
      <c r="H1119" s="19"/>
      <c r="I1119" s="18"/>
      <c r="J1119" s="18"/>
      <c r="K1119" s="18"/>
      <c r="L1119" s="18"/>
      <c r="M1119" s="18"/>
      <c r="N1119" s="18"/>
      <c r="O1119" s="18"/>
      <c r="S1119" s="18"/>
      <c r="T1119" s="20"/>
    </row>
    <row r="1120" spans="7:20" x14ac:dyDescent="0.2">
      <c r="G1120" s="18"/>
      <c r="H1120" s="19"/>
      <c r="I1120" s="18"/>
      <c r="J1120" s="18"/>
      <c r="K1120" s="18"/>
      <c r="L1120" s="18"/>
      <c r="M1120" s="18"/>
      <c r="N1120" s="18"/>
      <c r="O1120" s="18"/>
      <c r="S1120" s="18"/>
      <c r="T1120" s="20"/>
    </row>
    <row r="1121" spans="7:20" x14ac:dyDescent="0.2">
      <c r="G1121" s="18"/>
      <c r="H1121" s="19"/>
      <c r="I1121" s="18"/>
      <c r="J1121" s="18"/>
      <c r="K1121" s="18"/>
      <c r="L1121" s="18"/>
      <c r="M1121" s="18"/>
      <c r="N1121" s="18"/>
      <c r="O1121" s="18"/>
      <c r="S1121" s="18"/>
      <c r="T1121" s="20"/>
    </row>
    <row r="1122" spans="7:20" x14ac:dyDescent="0.2">
      <c r="G1122" s="18"/>
      <c r="H1122" s="19"/>
      <c r="I1122" s="18"/>
      <c r="J1122" s="18"/>
      <c r="K1122" s="18"/>
      <c r="L1122" s="18"/>
      <c r="M1122" s="18"/>
      <c r="N1122" s="18"/>
      <c r="O1122" s="18"/>
      <c r="S1122" s="18"/>
      <c r="T1122" s="20"/>
    </row>
    <row r="1123" spans="7:20" x14ac:dyDescent="0.2">
      <c r="G1123" s="18"/>
      <c r="H1123" s="19"/>
      <c r="I1123" s="18"/>
      <c r="J1123" s="18"/>
      <c r="K1123" s="18"/>
      <c r="L1123" s="18"/>
      <c r="M1123" s="18"/>
      <c r="N1123" s="18"/>
      <c r="O1123" s="18"/>
      <c r="S1123" s="18"/>
      <c r="T1123" s="20"/>
    </row>
    <row r="1124" spans="7:20" x14ac:dyDescent="0.2">
      <c r="G1124" s="18"/>
      <c r="H1124" s="19"/>
      <c r="I1124" s="18"/>
      <c r="J1124" s="18"/>
      <c r="K1124" s="18"/>
      <c r="L1124" s="18"/>
      <c r="M1124" s="18"/>
      <c r="N1124" s="18"/>
      <c r="O1124" s="18"/>
      <c r="S1124" s="18"/>
      <c r="T1124" s="20"/>
    </row>
    <row r="1125" spans="7:20" x14ac:dyDescent="0.2">
      <c r="G1125" s="18"/>
      <c r="H1125" s="19"/>
      <c r="I1125" s="18"/>
      <c r="J1125" s="18"/>
      <c r="K1125" s="18"/>
      <c r="L1125" s="18"/>
      <c r="M1125" s="18"/>
      <c r="N1125" s="18"/>
      <c r="O1125" s="18"/>
      <c r="S1125" s="18"/>
      <c r="T1125" s="20"/>
    </row>
    <row r="1126" spans="7:20" x14ac:dyDescent="0.2">
      <c r="G1126" s="18"/>
      <c r="H1126" s="19"/>
      <c r="I1126" s="18"/>
      <c r="J1126" s="18"/>
      <c r="K1126" s="18"/>
      <c r="L1126" s="18"/>
      <c r="M1126" s="18"/>
      <c r="N1126" s="18"/>
      <c r="O1126" s="18"/>
      <c r="S1126" s="18"/>
      <c r="T1126" s="20"/>
    </row>
    <row r="1127" spans="7:20" x14ac:dyDescent="0.2">
      <c r="G1127" s="18"/>
      <c r="H1127" s="19"/>
      <c r="I1127" s="18"/>
      <c r="J1127" s="18"/>
      <c r="K1127" s="18"/>
      <c r="L1127" s="18"/>
      <c r="M1127" s="18"/>
      <c r="N1127" s="18"/>
      <c r="O1127" s="18"/>
      <c r="S1127" s="18"/>
      <c r="T1127" s="20"/>
    </row>
    <row r="1128" spans="7:20" x14ac:dyDescent="0.2">
      <c r="G1128" s="18"/>
      <c r="H1128" s="19"/>
      <c r="I1128" s="18"/>
      <c r="J1128" s="18"/>
      <c r="K1128" s="18"/>
      <c r="L1128" s="18"/>
      <c r="M1128" s="18"/>
      <c r="N1128" s="18"/>
      <c r="O1128" s="18"/>
      <c r="S1128" s="18"/>
      <c r="T1128" s="20"/>
    </row>
    <row r="1129" spans="7:20" x14ac:dyDescent="0.2">
      <c r="G1129" s="18"/>
      <c r="H1129" s="19"/>
      <c r="I1129" s="18"/>
      <c r="J1129" s="18"/>
      <c r="K1129" s="18"/>
      <c r="L1129" s="18"/>
      <c r="M1129" s="18"/>
      <c r="N1129" s="18"/>
      <c r="O1129" s="18"/>
      <c r="S1129" s="18"/>
      <c r="T1129" s="20"/>
    </row>
    <row r="1130" spans="7:20" x14ac:dyDescent="0.2">
      <c r="G1130" s="18"/>
      <c r="H1130" s="19"/>
      <c r="I1130" s="18"/>
      <c r="J1130" s="18"/>
      <c r="K1130" s="18"/>
      <c r="L1130" s="18"/>
      <c r="M1130" s="18"/>
      <c r="N1130" s="18"/>
      <c r="O1130" s="18"/>
      <c r="S1130" s="18"/>
      <c r="T1130" s="20"/>
    </row>
    <row r="1131" spans="7:20" x14ac:dyDescent="0.2">
      <c r="G1131" s="18"/>
      <c r="H1131" s="19"/>
      <c r="I1131" s="18"/>
      <c r="J1131" s="18"/>
      <c r="K1131" s="18"/>
      <c r="L1131" s="18"/>
      <c r="M1131" s="18"/>
      <c r="N1131" s="18"/>
      <c r="O1131" s="18"/>
      <c r="S1131" s="18"/>
      <c r="T1131" s="20"/>
    </row>
    <row r="1132" spans="7:20" x14ac:dyDescent="0.2">
      <c r="G1132" s="18"/>
      <c r="H1132" s="19"/>
      <c r="I1132" s="18"/>
      <c r="J1132" s="18"/>
      <c r="K1132" s="18"/>
      <c r="L1132" s="18"/>
      <c r="M1132" s="18"/>
      <c r="N1132" s="18"/>
      <c r="O1132" s="18"/>
      <c r="S1132" s="18"/>
      <c r="T1132" s="20"/>
    </row>
    <row r="1133" spans="7:20" x14ac:dyDescent="0.2">
      <c r="G1133" s="18"/>
      <c r="H1133" s="19"/>
      <c r="I1133" s="18"/>
      <c r="J1133" s="18"/>
      <c r="K1133" s="18"/>
      <c r="L1133" s="18"/>
      <c r="M1133" s="18"/>
      <c r="N1133" s="18"/>
      <c r="O1133" s="18"/>
      <c r="S1133" s="18"/>
      <c r="T1133" s="20"/>
    </row>
    <row r="1134" spans="7:20" x14ac:dyDescent="0.2">
      <c r="G1134" s="18"/>
      <c r="H1134" s="19"/>
      <c r="I1134" s="18"/>
      <c r="J1134" s="18"/>
      <c r="K1134" s="18"/>
      <c r="L1134" s="18"/>
      <c r="M1134" s="18"/>
      <c r="N1134" s="18"/>
      <c r="O1134" s="18"/>
      <c r="S1134" s="18"/>
      <c r="T1134" s="20"/>
    </row>
    <row r="1135" spans="7:20" x14ac:dyDescent="0.2">
      <c r="G1135" s="18"/>
      <c r="H1135" s="19"/>
      <c r="I1135" s="18"/>
      <c r="J1135" s="18"/>
      <c r="K1135" s="18"/>
      <c r="L1135" s="18"/>
      <c r="M1135" s="18"/>
      <c r="N1135" s="18"/>
      <c r="O1135" s="18"/>
      <c r="S1135" s="18"/>
      <c r="T1135" s="20"/>
    </row>
    <row r="1136" spans="7:20" x14ac:dyDescent="0.2">
      <c r="G1136" s="18"/>
      <c r="H1136" s="19"/>
      <c r="I1136" s="18"/>
      <c r="J1136" s="18"/>
      <c r="K1136" s="18"/>
      <c r="L1136" s="18"/>
      <c r="M1136" s="18"/>
      <c r="N1136" s="18"/>
      <c r="O1136" s="18"/>
      <c r="S1136" s="18"/>
      <c r="T1136" s="20"/>
    </row>
    <row r="1137" spans="7:20" x14ac:dyDescent="0.2">
      <c r="G1137" s="18"/>
      <c r="H1137" s="19"/>
      <c r="I1137" s="18"/>
      <c r="J1137" s="18"/>
      <c r="K1137" s="18"/>
      <c r="L1137" s="18"/>
      <c r="M1137" s="18"/>
      <c r="N1137" s="18"/>
      <c r="O1137" s="18"/>
      <c r="S1137" s="18"/>
      <c r="T1137" s="20"/>
    </row>
    <row r="1138" spans="7:20" x14ac:dyDescent="0.2">
      <c r="G1138" s="18"/>
      <c r="H1138" s="19"/>
      <c r="I1138" s="18"/>
      <c r="J1138" s="18"/>
      <c r="K1138" s="18"/>
      <c r="L1138" s="18"/>
      <c r="M1138" s="18"/>
      <c r="N1138" s="18"/>
      <c r="O1138" s="18"/>
      <c r="S1138" s="18"/>
      <c r="T1138" s="20"/>
    </row>
    <row r="1139" spans="7:20" x14ac:dyDescent="0.2">
      <c r="G1139" s="18"/>
      <c r="H1139" s="19"/>
      <c r="I1139" s="18"/>
      <c r="J1139" s="18"/>
      <c r="K1139" s="18"/>
      <c r="L1139" s="18"/>
      <c r="M1139" s="18"/>
      <c r="N1139" s="18"/>
      <c r="O1139" s="18"/>
      <c r="S1139" s="18"/>
      <c r="T1139" s="20"/>
    </row>
    <row r="1140" spans="7:20" x14ac:dyDescent="0.2">
      <c r="G1140" s="18"/>
      <c r="H1140" s="19"/>
      <c r="I1140" s="18"/>
      <c r="J1140" s="18"/>
      <c r="K1140" s="18"/>
      <c r="L1140" s="18"/>
      <c r="M1140" s="18"/>
      <c r="N1140" s="18"/>
      <c r="O1140" s="18"/>
      <c r="S1140" s="18"/>
      <c r="T1140" s="20"/>
    </row>
    <row r="1141" spans="7:20" x14ac:dyDescent="0.2">
      <c r="G1141" s="18"/>
      <c r="H1141" s="19"/>
      <c r="I1141" s="18"/>
      <c r="J1141" s="18"/>
      <c r="K1141" s="18"/>
      <c r="L1141" s="18"/>
      <c r="M1141" s="18"/>
      <c r="N1141" s="18"/>
      <c r="O1141" s="18"/>
      <c r="S1141" s="18"/>
      <c r="T1141" s="20"/>
    </row>
    <row r="1142" spans="7:20" x14ac:dyDescent="0.2">
      <c r="G1142" s="18"/>
      <c r="H1142" s="19"/>
      <c r="I1142" s="18"/>
      <c r="J1142" s="18"/>
      <c r="K1142" s="18"/>
      <c r="L1142" s="18"/>
      <c r="M1142" s="18"/>
      <c r="N1142" s="18"/>
      <c r="O1142" s="18"/>
      <c r="S1142" s="18"/>
      <c r="T1142" s="20"/>
    </row>
    <row r="1143" spans="7:20" x14ac:dyDescent="0.2">
      <c r="G1143" s="18"/>
      <c r="H1143" s="19"/>
      <c r="I1143" s="18"/>
      <c r="J1143" s="18"/>
      <c r="K1143" s="18"/>
      <c r="L1143" s="18"/>
      <c r="M1143" s="18"/>
      <c r="N1143" s="18"/>
      <c r="O1143" s="18"/>
      <c r="S1143" s="18"/>
      <c r="T1143" s="20"/>
    </row>
    <row r="1144" spans="7:20" x14ac:dyDescent="0.2">
      <c r="G1144" s="18"/>
      <c r="H1144" s="19"/>
      <c r="I1144" s="18"/>
      <c r="J1144" s="18"/>
      <c r="K1144" s="18"/>
      <c r="L1144" s="18"/>
      <c r="M1144" s="18"/>
      <c r="N1144" s="18"/>
      <c r="O1144" s="18"/>
      <c r="S1144" s="18"/>
      <c r="T1144" s="20"/>
    </row>
    <row r="1145" spans="7:20" x14ac:dyDescent="0.2">
      <c r="G1145" s="18"/>
      <c r="H1145" s="19"/>
      <c r="I1145" s="18"/>
      <c r="J1145" s="18"/>
      <c r="K1145" s="18"/>
      <c r="L1145" s="18"/>
      <c r="M1145" s="18"/>
      <c r="N1145" s="18"/>
      <c r="O1145" s="18"/>
      <c r="S1145" s="18"/>
      <c r="T1145" s="20"/>
    </row>
    <row r="1146" spans="7:20" x14ac:dyDescent="0.2">
      <c r="G1146" s="18"/>
      <c r="H1146" s="19"/>
      <c r="I1146" s="18"/>
      <c r="J1146" s="18"/>
      <c r="K1146" s="18"/>
      <c r="L1146" s="18"/>
      <c r="M1146" s="18"/>
      <c r="N1146" s="18"/>
      <c r="O1146" s="18"/>
      <c r="S1146" s="18"/>
      <c r="T1146" s="20"/>
    </row>
    <row r="1147" spans="7:20" x14ac:dyDescent="0.2">
      <c r="G1147" s="18"/>
      <c r="H1147" s="19"/>
      <c r="I1147" s="18"/>
      <c r="J1147" s="18"/>
      <c r="K1147" s="18"/>
      <c r="L1147" s="18"/>
      <c r="M1147" s="18"/>
      <c r="N1147" s="18"/>
      <c r="O1147" s="18"/>
      <c r="S1147" s="18"/>
      <c r="T1147" s="20"/>
    </row>
    <row r="1148" spans="7:20" x14ac:dyDescent="0.2">
      <c r="G1148" s="18"/>
      <c r="H1148" s="19"/>
      <c r="I1148" s="18"/>
      <c r="J1148" s="18"/>
      <c r="K1148" s="18"/>
      <c r="L1148" s="18"/>
      <c r="M1148" s="18"/>
      <c r="N1148" s="18"/>
      <c r="O1148" s="18"/>
      <c r="S1148" s="18"/>
      <c r="T1148" s="20"/>
    </row>
    <row r="1149" spans="7:20" x14ac:dyDescent="0.2">
      <c r="G1149" s="18"/>
      <c r="H1149" s="19"/>
      <c r="I1149" s="18"/>
      <c r="J1149" s="18"/>
      <c r="K1149" s="18"/>
      <c r="L1149" s="18"/>
      <c r="M1149" s="18"/>
      <c r="N1149" s="18"/>
      <c r="O1149" s="18"/>
      <c r="S1149" s="18"/>
      <c r="T1149" s="20"/>
    </row>
    <row r="1150" spans="7:20" x14ac:dyDescent="0.2">
      <c r="G1150" s="18"/>
      <c r="H1150" s="19"/>
      <c r="I1150" s="18"/>
      <c r="J1150" s="18"/>
      <c r="K1150" s="18"/>
      <c r="L1150" s="18"/>
      <c r="M1150" s="18"/>
      <c r="N1150" s="18"/>
      <c r="O1150" s="18"/>
      <c r="S1150" s="18"/>
      <c r="T1150" s="20"/>
    </row>
    <row r="1151" spans="7:20" x14ac:dyDescent="0.2">
      <c r="G1151" s="18"/>
      <c r="H1151" s="19"/>
      <c r="I1151" s="18"/>
      <c r="J1151" s="18"/>
      <c r="K1151" s="18"/>
      <c r="L1151" s="18"/>
      <c r="M1151" s="18"/>
      <c r="N1151" s="18"/>
      <c r="O1151" s="18"/>
      <c r="S1151" s="18"/>
      <c r="T1151" s="20"/>
    </row>
    <row r="1152" spans="7:20" x14ac:dyDescent="0.2">
      <c r="G1152" s="18"/>
      <c r="H1152" s="19"/>
      <c r="I1152" s="18"/>
      <c r="J1152" s="18"/>
      <c r="K1152" s="18"/>
      <c r="L1152" s="18"/>
      <c r="M1152" s="18"/>
      <c r="N1152" s="18"/>
      <c r="O1152" s="18"/>
      <c r="S1152" s="18"/>
      <c r="T1152" s="20"/>
    </row>
    <row r="1153" spans="7:20" x14ac:dyDescent="0.2">
      <c r="G1153" s="18"/>
      <c r="H1153" s="19"/>
      <c r="I1153" s="18"/>
      <c r="J1153" s="18"/>
      <c r="K1153" s="18"/>
      <c r="L1153" s="18"/>
      <c r="M1153" s="18"/>
      <c r="N1153" s="18"/>
      <c r="O1153" s="18"/>
      <c r="S1153" s="18"/>
      <c r="T1153" s="20"/>
    </row>
    <row r="1154" spans="7:20" x14ac:dyDescent="0.2">
      <c r="G1154" s="18"/>
      <c r="H1154" s="19"/>
      <c r="I1154" s="18"/>
      <c r="J1154" s="18"/>
      <c r="K1154" s="18"/>
      <c r="L1154" s="18"/>
      <c r="M1154" s="18"/>
      <c r="N1154" s="18"/>
      <c r="O1154" s="18"/>
      <c r="S1154" s="18"/>
      <c r="T1154" s="20"/>
    </row>
    <row r="1155" spans="7:20" x14ac:dyDescent="0.2">
      <c r="G1155" s="18"/>
      <c r="H1155" s="19"/>
      <c r="I1155" s="18"/>
      <c r="J1155" s="18"/>
      <c r="K1155" s="18"/>
      <c r="L1155" s="18"/>
      <c r="M1155" s="18"/>
      <c r="N1155" s="18"/>
      <c r="O1155" s="18"/>
      <c r="S1155" s="18"/>
      <c r="T1155" s="20"/>
    </row>
    <row r="1156" spans="7:20" x14ac:dyDescent="0.2">
      <c r="G1156" s="18"/>
      <c r="H1156" s="19"/>
      <c r="I1156" s="18"/>
      <c r="J1156" s="18"/>
      <c r="K1156" s="18"/>
      <c r="L1156" s="18"/>
      <c r="M1156" s="18"/>
      <c r="N1156" s="18"/>
      <c r="O1156" s="18"/>
      <c r="S1156" s="18"/>
      <c r="T1156" s="20"/>
    </row>
    <row r="1157" spans="7:20" x14ac:dyDescent="0.2">
      <c r="G1157" s="18"/>
      <c r="H1157" s="19"/>
      <c r="I1157" s="18"/>
      <c r="J1157" s="18"/>
      <c r="K1157" s="18"/>
      <c r="L1157" s="18"/>
      <c r="M1157" s="18"/>
      <c r="N1157" s="18"/>
      <c r="O1157" s="18"/>
      <c r="S1157" s="18"/>
      <c r="T1157" s="20"/>
    </row>
    <row r="1158" spans="7:20" x14ac:dyDescent="0.2">
      <c r="G1158" s="18"/>
      <c r="H1158" s="19"/>
      <c r="I1158" s="18"/>
      <c r="J1158" s="18"/>
      <c r="K1158" s="18"/>
      <c r="L1158" s="18"/>
      <c r="M1158" s="18"/>
      <c r="N1158" s="18"/>
      <c r="O1158" s="18"/>
      <c r="S1158" s="18"/>
      <c r="T1158" s="20"/>
    </row>
    <row r="1159" spans="7:20" x14ac:dyDescent="0.2">
      <c r="G1159" s="18"/>
      <c r="H1159" s="19"/>
      <c r="I1159" s="18"/>
      <c r="J1159" s="18"/>
      <c r="K1159" s="18"/>
      <c r="L1159" s="18"/>
      <c r="M1159" s="18"/>
      <c r="N1159" s="18"/>
      <c r="O1159" s="18"/>
      <c r="S1159" s="18"/>
      <c r="T1159" s="20"/>
    </row>
    <row r="1160" spans="7:20" x14ac:dyDescent="0.2">
      <c r="G1160" s="18"/>
      <c r="H1160" s="19"/>
      <c r="I1160" s="18"/>
      <c r="J1160" s="18"/>
      <c r="K1160" s="18"/>
      <c r="L1160" s="18"/>
      <c r="M1160" s="18"/>
      <c r="N1160" s="18"/>
      <c r="O1160" s="18"/>
      <c r="S1160" s="18"/>
      <c r="T1160" s="20"/>
    </row>
    <row r="1161" spans="7:20" x14ac:dyDescent="0.2">
      <c r="G1161" s="18"/>
      <c r="H1161" s="19"/>
      <c r="I1161" s="18"/>
      <c r="J1161" s="18"/>
      <c r="K1161" s="18"/>
      <c r="L1161" s="18"/>
      <c r="M1161" s="18"/>
      <c r="N1161" s="18"/>
      <c r="O1161" s="18"/>
      <c r="S1161" s="18"/>
      <c r="T1161" s="20"/>
    </row>
    <row r="1162" spans="7:20" x14ac:dyDescent="0.2">
      <c r="G1162" s="18"/>
      <c r="H1162" s="19"/>
      <c r="I1162" s="18"/>
      <c r="J1162" s="18"/>
      <c r="K1162" s="18"/>
      <c r="L1162" s="18"/>
      <c r="M1162" s="18"/>
      <c r="N1162" s="18"/>
      <c r="O1162" s="18"/>
      <c r="S1162" s="18"/>
      <c r="T1162" s="20"/>
    </row>
    <row r="1163" spans="7:20" x14ac:dyDescent="0.2">
      <c r="G1163" s="18"/>
      <c r="H1163" s="19"/>
      <c r="I1163" s="18"/>
      <c r="J1163" s="18"/>
      <c r="K1163" s="18"/>
      <c r="L1163" s="18"/>
      <c r="M1163" s="18"/>
      <c r="N1163" s="18"/>
      <c r="O1163" s="18"/>
      <c r="S1163" s="18"/>
      <c r="T1163" s="20"/>
    </row>
    <row r="1164" spans="7:20" x14ac:dyDescent="0.2">
      <c r="G1164" s="18"/>
      <c r="H1164" s="19"/>
      <c r="I1164" s="18"/>
      <c r="J1164" s="18"/>
      <c r="K1164" s="18"/>
      <c r="L1164" s="18"/>
      <c r="M1164" s="18"/>
      <c r="N1164" s="18"/>
      <c r="O1164" s="18"/>
      <c r="S1164" s="18"/>
      <c r="T1164" s="20"/>
    </row>
    <row r="1165" spans="7:20" x14ac:dyDescent="0.2">
      <c r="G1165" s="18"/>
      <c r="H1165" s="19"/>
      <c r="I1165" s="18"/>
      <c r="J1165" s="18"/>
      <c r="K1165" s="18"/>
      <c r="L1165" s="18"/>
      <c r="M1165" s="18"/>
      <c r="N1165" s="18"/>
      <c r="O1165" s="18"/>
      <c r="S1165" s="18"/>
      <c r="T1165" s="20"/>
    </row>
    <row r="1166" spans="7:20" x14ac:dyDescent="0.2">
      <c r="G1166" s="18"/>
      <c r="H1166" s="19"/>
      <c r="I1166" s="18"/>
      <c r="J1166" s="18"/>
      <c r="K1166" s="18"/>
      <c r="L1166" s="18"/>
      <c r="M1166" s="18"/>
      <c r="N1166" s="18"/>
      <c r="O1166" s="18"/>
      <c r="S1166" s="18"/>
      <c r="T1166" s="20"/>
    </row>
    <row r="1167" spans="7:20" x14ac:dyDescent="0.2">
      <c r="G1167" s="18"/>
      <c r="H1167" s="19"/>
      <c r="I1167" s="18"/>
      <c r="J1167" s="18"/>
      <c r="K1167" s="18"/>
      <c r="L1167" s="18"/>
      <c r="M1167" s="18"/>
      <c r="N1167" s="18"/>
      <c r="O1167" s="18"/>
      <c r="S1167" s="18"/>
      <c r="T1167" s="20"/>
    </row>
    <row r="1168" spans="7:20" x14ac:dyDescent="0.2">
      <c r="G1168" s="18"/>
      <c r="H1168" s="19"/>
      <c r="I1168" s="18"/>
      <c r="J1168" s="18"/>
      <c r="K1168" s="18"/>
      <c r="L1168" s="18"/>
      <c r="M1168" s="18"/>
      <c r="N1168" s="18"/>
      <c r="O1168" s="18"/>
      <c r="S1168" s="18"/>
      <c r="T1168" s="20"/>
    </row>
    <row r="1169" spans="7:20" x14ac:dyDescent="0.2">
      <c r="G1169" s="18"/>
      <c r="H1169" s="19"/>
      <c r="I1169" s="18"/>
      <c r="J1169" s="18"/>
      <c r="K1169" s="18"/>
      <c r="L1169" s="18"/>
      <c r="M1169" s="18"/>
      <c r="N1169" s="18"/>
      <c r="O1169" s="18"/>
      <c r="S1169" s="18"/>
      <c r="T1169" s="20"/>
    </row>
    <row r="1170" spans="7:20" x14ac:dyDescent="0.2">
      <c r="G1170" s="18"/>
      <c r="H1170" s="19"/>
      <c r="I1170" s="18"/>
      <c r="J1170" s="18"/>
      <c r="K1170" s="18"/>
      <c r="L1170" s="18"/>
      <c r="M1170" s="18"/>
      <c r="N1170" s="18"/>
      <c r="O1170" s="18"/>
      <c r="S1170" s="18"/>
      <c r="T1170" s="20"/>
    </row>
    <row r="1171" spans="7:20" x14ac:dyDescent="0.2">
      <c r="G1171" s="18"/>
      <c r="H1171" s="19"/>
      <c r="I1171" s="18"/>
      <c r="J1171" s="18"/>
      <c r="K1171" s="18"/>
      <c r="L1171" s="18"/>
      <c r="M1171" s="18"/>
      <c r="N1171" s="18"/>
      <c r="O1171" s="18"/>
      <c r="S1171" s="18"/>
      <c r="T1171" s="20"/>
    </row>
    <row r="1172" spans="7:20" x14ac:dyDescent="0.2">
      <c r="G1172" s="18"/>
      <c r="H1172" s="19"/>
      <c r="I1172" s="18"/>
      <c r="J1172" s="18"/>
      <c r="K1172" s="18"/>
      <c r="L1172" s="18"/>
      <c r="M1172" s="18"/>
      <c r="N1172" s="18"/>
      <c r="O1172" s="18"/>
      <c r="S1172" s="18"/>
      <c r="T1172" s="20"/>
    </row>
    <row r="1173" spans="7:20" x14ac:dyDescent="0.2">
      <c r="G1173" s="18"/>
      <c r="H1173" s="19"/>
      <c r="I1173" s="18"/>
      <c r="J1173" s="18"/>
      <c r="K1173" s="18"/>
      <c r="L1173" s="18"/>
      <c r="M1173" s="18"/>
      <c r="N1173" s="18"/>
      <c r="O1173" s="18"/>
      <c r="S1173" s="18"/>
      <c r="T1173" s="20"/>
    </row>
    <row r="1174" spans="7:20" x14ac:dyDescent="0.2">
      <c r="G1174" s="18"/>
      <c r="H1174" s="19"/>
      <c r="I1174" s="18"/>
      <c r="J1174" s="18"/>
      <c r="K1174" s="18"/>
      <c r="L1174" s="18"/>
      <c r="M1174" s="18"/>
      <c r="N1174" s="18"/>
      <c r="O1174" s="18"/>
      <c r="S1174" s="18"/>
      <c r="T1174" s="20"/>
    </row>
    <row r="1175" spans="7:20" x14ac:dyDescent="0.2">
      <c r="G1175" s="18"/>
      <c r="H1175" s="19"/>
      <c r="I1175" s="18"/>
      <c r="J1175" s="18"/>
      <c r="K1175" s="18"/>
      <c r="L1175" s="18"/>
      <c r="M1175" s="18"/>
      <c r="N1175" s="18"/>
      <c r="O1175" s="18"/>
      <c r="S1175" s="18"/>
      <c r="T1175" s="20"/>
    </row>
    <row r="1176" spans="7:20" x14ac:dyDescent="0.2">
      <c r="G1176" s="18"/>
      <c r="H1176" s="19"/>
      <c r="I1176" s="18"/>
      <c r="J1176" s="18"/>
      <c r="K1176" s="18"/>
      <c r="L1176" s="18"/>
      <c r="M1176" s="18"/>
      <c r="N1176" s="18"/>
      <c r="O1176" s="18"/>
      <c r="S1176" s="18"/>
      <c r="T1176" s="20"/>
    </row>
    <row r="1177" spans="7:20" x14ac:dyDescent="0.2">
      <c r="G1177" s="18"/>
      <c r="H1177" s="19"/>
      <c r="I1177" s="18"/>
      <c r="J1177" s="18"/>
      <c r="K1177" s="18"/>
      <c r="L1177" s="18"/>
      <c r="M1177" s="18"/>
      <c r="N1177" s="18"/>
      <c r="O1177" s="18"/>
      <c r="S1177" s="18"/>
      <c r="T1177" s="20"/>
    </row>
    <row r="1178" spans="7:20" x14ac:dyDescent="0.2">
      <c r="G1178" s="18"/>
      <c r="H1178" s="19"/>
      <c r="I1178" s="18"/>
      <c r="J1178" s="18"/>
      <c r="K1178" s="18"/>
      <c r="L1178" s="18"/>
      <c r="M1178" s="18"/>
      <c r="N1178" s="18"/>
      <c r="O1178" s="18"/>
      <c r="S1178" s="18"/>
      <c r="T1178" s="20"/>
    </row>
    <row r="1179" spans="7:20" x14ac:dyDescent="0.2">
      <c r="G1179" s="18"/>
      <c r="H1179" s="19"/>
      <c r="I1179" s="18"/>
      <c r="J1179" s="18"/>
      <c r="K1179" s="18"/>
      <c r="L1179" s="18"/>
      <c r="M1179" s="18"/>
      <c r="N1179" s="18"/>
      <c r="O1179" s="18"/>
      <c r="S1179" s="18"/>
      <c r="T1179" s="20"/>
    </row>
    <row r="1180" spans="7:20" x14ac:dyDescent="0.2">
      <c r="G1180" s="18"/>
      <c r="H1180" s="19"/>
      <c r="I1180" s="18"/>
      <c r="J1180" s="18"/>
      <c r="K1180" s="18"/>
      <c r="L1180" s="18"/>
      <c r="M1180" s="18"/>
      <c r="N1180" s="18"/>
      <c r="O1180" s="18"/>
      <c r="S1180" s="18"/>
      <c r="T1180" s="20"/>
    </row>
    <row r="1181" spans="7:20" x14ac:dyDescent="0.2">
      <c r="G1181" s="18"/>
      <c r="H1181" s="19"/>
      <c r="I1181" s="18"/>
      <c r="J1181" s="18"/>
      <c r="K1181" s="18"/>
      <c r="L1181" s="18"/>
      <c r="M1181" s="18"/>
      <c r="N1181" s="18"/>
      <c r="O1181" s="18"/>
      <c r="S1181" s="18"/>
      <c r="T1181" s="20"/>
    </row>
    <row r="1182" spans="7:20" x14ac:dyDescent="0.2">
      <c r="G1182" s="18"/>
      <c r="H1182" s="19"/>
      <c r="I1182" s="18"/>
      <c r="J1182" s="18"/>
      <c r="K1182" s="18"/>
      <c r="L1182" s="18"/>
      <c r="M1182" s="18"/>
      <c r="N1182" s="18"/>
      <c r="O1182" s="18"/>
      <c r="S1182" s="18"/>
      <c r="T1182" s="20"/>
    </row>
    <row r="1183" spans="7:20" x14ac:dyDescent="0.2">
      <c r="G1183" s="18"/>
      <c r="H1183" s="19"/>
      <c r="I1183" s="18"/>
      <c r="J1183" s="18"/>
      <c r="K1183" s="18"/>
      <c r="L1183" s="18"/>
      <c r="M1183" s="18"/>
      <c r="N1183" s="18"/>
      <c r="O1183" s="18"/>
      <c r="S1183" s="18"/>
      <c r="T1183" s="20"/>
    </row>
    <row r="1184" spans="7:20" x14ac:dyDescent="0.2">
      <c r="G1184" s="18"/>
      <c r="H1184" s="19"/>
      <c r="I1184" s="18"/>
      <c r="J1184" s="18"/>
      <c r="K1184" s="18"/>
      <c r="L1184" s="18"/>
      <c r="M1184" s="18"/>
      <c r="N1184" s="18"/>
      <c r="O1184" s="18"/>
      <c r="S1184" s="18"/>
      <c r="T1184" s="20"/>
    </row>
    <row r="1185" spans="7:20" x14ac:dyDescent="0.2">
      <c r="G1185" s="18"/>
      <c r="H1185" s="19"/>
      <c r="I1185" s="18"/>
      <c r="J1185" s="18"/>
      <c r="K1185" s="18"/>
      <c r="L1185" s="18"/>
      <c r="M1185" s="18"/>
      <c r="N1185" s="18"/>
      <c r="O1185" s="18"/>
      <c r="S1185" s="18"/>
      <c r="T1185" s="20"/>
    </row>
    <row r="1186" spans="7:20" x14ac:dyDescent="0.2">
      <c r="G1186" s="18"/>
      <c r="H1186" s="19"/>
      <c r="I1186" s="18"/>
      <c r="J1186" s="18"/>
      <c r="K1186" s="18"/>
      <c r="L1186" s="18"/>
      <c r="M1186" s="18"/>
      <c r="N1186" s="18"/>
      <c r="O1186" s="18"/>
      <c r="S1186" s="18"/>
      <c r="T1186" s="20"/>
    </row>
    <row r="1187" spans="7:20" x14ac:dyDescent="0.2">
      <c r="G1187" s="18"/>
      <c r="H1187" s="19"/>
      <c r="I1187" s="18"/>
      <c r="J1187" s="18"/>
      <c r="K1187" s="18"/>
      <c r="L1187" s="18"/>
      <c r="M1187" s="18"/>
      <c r="N1187" s="18"/>
      <c r="O1187" s="18"/>
      <c r="S1187" s="18"/>
      <c r="T1187" s="20"/>
    </row>
    <row r="1188" spans="7:20" x14ac:dyDescent="0.2">
      <c r="G1188" s="18"/>
      <c r="H1188" s="19"/>
      <c r="I1188" s="18"/>
      <c r="J1188" s="18"/>
      <c r="K1188" s="18"/>
      <c r="L1188" s="18"/>
      <c r="M1188" s="18"/>
      <c r="N1188" s="18"/>
      <c r="O1188" s="18"/>
      <c r="S1188" s="18"/>
      <c r="T1188" s="20"/>
    </row>
    <row r="1189" spans="7:20" x14ac:dyDescent="0.2">
      <c r="G1189" s="18"/>
      <c r="H1189" s="19"/>
      <c r="I1189" s="18"/>
      <c r="J1189" s="18"/>
      <c r="K1189" s="18"/>
      <c r="L1189" s="18"/>
      <c r="M1189" s="18"/>
      <c r="N1189" s="18"/>
      <c r="O1189" s="18"/>
      <c r="S1189" s="18"/>
      <c r="T1189" s="20"/>
    </row>
    <row r="1190" spans="7:20" x14ac:dyDescent="0.2">
      <c r="G1190" s="18"/>
      <c r="H1190" s="19"/>
      <c r="I1190" s="18"/>
      <c r="J1190" s="18"/>
      <c r="K1190" s="18"/>
      <c r="L1190" s="18"/>
      <c r="M1190" s="18"/>
      <c r="N1190" s="18"/>
      <c r="O1190" s="18"/>
      <c r="S1190" s="18"/>
      <c r="T1190" s="20"/>
    </row>
    <row r="1191" spans="7:20" x14ac:dyDescent="0.2">
      <c r="G1191" s="18"/>
      <c r="H1191" s="19"/>
      <c r="I1191" s="18"/>
      <c r="J1191" s="18"/>
      <c r="K1191" s="18"/>
      <c r="L1191" s="18"/>
      <c r="M1191" s="18"/>
      <c r="N1191" s="18"/>
      <c r="O1191" s="18"/>
      <c r="S1191" s="18"/>
      <c r="T1191" s="20"/>
    </row>
    <row r="1192" spans="7:20" x14ac:dyDescent="0.2">
      <c r="G1192" s="18"/>
      <c r="H1192" s="19"/>
      <c r="I1192" s="18"/>
      <c r="J1192" s="18"/>
      <c r="K1192" s="18"/>
      <c r="L1192" s="18"/>
      <c r="M1192" s="18"/>
      <c r="N1192" s="18"/>
      <c r="O1192" s="18"/>
      <c r="S1192" s="18"/>
      <c r="T1192" s="20"/>
    </row>
    <row r="1193" spans="7:20" x14ac:dyDescent="0.2">
      <c r="G1193" s="18"/>
      <c r="H1193" s="19"/>
      <c r="I1193" s="18"/>
      <c r="J1193" s="18"/>
      <c r="K1193" s="18"/>
      <c r="L1193" s="18"/>
      <c r="M1193" s="18"/>
      <c r="N1193" s="18"/>
      <c r="O1193" s="18"/>
      <c r="S1193" s="18"/>
      <c r="T1193" s="20"/>
    </row>
    <row r="1194" spans="7:20" x14ac:dyDescent="0.2">
      <c r="G1194" s="18"/>
      <c r="H1194" s="19"/>
      <c r="I1194" s="18"/>
      <c r="J1194" s="18"/>
      <c r="K1194" s="18"/>
      <c r="L1194" s="18"/>
      <c r="M1194" s="18"/>
      <c r="N1194" s="18"/>
      <c r="O1194" s="18"/>
      <c r="S1194" s="18"/>
      <c r="T1194" s="20"/>
    </row>
    <row r="1195" spans="7:20" x14ac:dyDescent="0.2">
      <c r="G1195" s="18"/>
      <c r="H1195" s="19"/>
      <c r="I1195" s="18"/>
      <c r="J1195" s="18"/>
      <c r="K1195" s="18"/>
      <c r="L1195" s="18"/>
      <c r="M1195" s="18"/>
      <c r="N1195" s="18"/>
      <c r="O1195" s="18"/>
      <c r="S1195" s="18"/>
      <c r="T1195" s="20"/>
    </row>
    <row r="1196" spans="7:20" x14ac:dyDescent="0.2">
      <c r="G1196" s="18"/>
      <c r="H1196" s="19"/>
      <c r="I1196" s="18"/>
      <c r="J1196" s="18"/>
      <c r="K1196" s="18"/>
      <c r="L1196" s="18"/>
      <c r="M1196" s="18"/>
      <c r="N1196" s="18"/>
      <c r="O1196" s="18"/>
      <c r="S1196" s="18"/>
      <c r="T1196" s="20"/>
    </row>
    <row r="1197" spans="7:20" x14ac:dyDescent="0.2">
      <c r="G1197" s="18"/>
      <c r="H1197" s="19"/>
      <c r="I1197" s="18"/>
      <c r="J1197" s="18"/>
      <c r="K1197" s="18"/>
      <c r="L1197" s="18"/>
      <c r="M1197" s="18"/>
      <c r="N1197" s="18"/>
      <c r="O1197" s="18"/>
      <c r="S1197" s="18"/>
      <c r="T1197" s="20"/>
    </row>
    <row r="1198" spans="7:20" x14ac:dyDescent="0.2">
      <c r="G1198" s="18"/>
      <c r="H1198" s="19"/>
      <c r="I1198" s="18"/>
      <c r="J1198" s="18"/>
      <c r="K1198" s="18"/>
      <c r="L1198" s="18"/>
      <c r="M1198" s="18"/>
      <c r="N1198" s="18"/>
      <c r="O1198" s="18"/>
      <c r="S1198" s="18"/>
      <c r="T1198" s="20"/>
    </row>
    <row r="1199" spans="7:20" x14ac:dyDescent="0.2">
      <c r="G1199" s="18"/>
      <c r="H1199" s="19"/>
      <c r="I1199" s="18"/>
      <c r="J1199" s="18"/>
      <c r="K1199" s="18"/>
      <c r="L1199" s="18"/>
      <c r="M1199" s="18"/>
      <c r="N1199" s="18"/>
      <c r="O1199" s="18"/>
      <c r="S1199" s="18"/>
      <c r="T1199" s="20"/>
    </row>
    <row r="1200" spans="7:20" x14ac:dyDescent="0.2">
      <c r="G1200" s="18"/>
      <c r="H1200" s="19"/>
      <c r="I1200" s="18"/>
      <c r="J1200" s="18"/>
      <c r="K1200" s="18"/>
      <c r="L1200" s="18"/>
      <c r="M1200" s="18"/>
      <c r="N1200" s="18"/>
      <c r="O1200" s="18"/>
      <c r="S1200" s="18"/>
      <c r="T1200" s="20"/>
    </row>
    <row r="1201" spans="7:20" x14ac:dyDescent="0.2">
      <c r="G1201" s="18"/>
      <c r="H1201" s="19"/>
      <c r="I1201" s="18"/>
      <c r="J1201" s="18"/>
      <c r="K1201" s="18"/>
      <c r="L1201" s="18"/>
      <c r="M1201" s="18"/>
      <c r="N1201" s="18"/>
      <c r="O1201" s="18"/>
      <c r="S1201" s="18"/>
      <c r="T1201" s="20"/>
    </row>
    <row r="1202" spans="7:20" x14ac:dyDescent="0.2">
      <c r="G1202" s="18"/>
      <c r="H1202" s="19"/>
      <c r="I1202" s="18"/>
      <c r="J1202" s="18"/>
      <c r="K1202" s="18"/>
      <c r="L1202" s="18"/>
      <c r="M1202" s="18"/>
      <c r="N1202" s="18"/>
      <c r="O1202" s="18"/>
      <c r="S1202" s="18"/>
      <c r="T1202" s="20"/>
    </row>
    <row r="1203" spans="7:20" x14ac:dyDescent="0.2">
      <c r="G1203" s="18"/>
      <c r="H1203" s="19"/>
      <c r="I1203" s="18"/>
      <c r="J1203" s="18"/>
      <c r="K1203" s="18"/>
      <c r="L1203" s="18"/>
      <c r="M1203" s="18"/>
      <c r="N1203" s="18"/>
      <c r="O1203" s="18"/>
      <c r="S1203" s="18"/>
      <c r="T1203" s="20"/>
    </row>
    <row r="1204" spans="7:20" x14ac:dyDescent="0.2">
      <c r="G1204" s="18"/>
      <c r="H1204" s="19"/>
      <c r="I1204" s="18"/>
      <c r="J1204" s="18"/>
      <c r="K1204" s="18"/>
      <c r="L1204" s="18"/>
      <c r="M1204" s="18"/>
      <c r="N1204" s="18"/>
      <c r="O1204" s="18"/>
      <c r="S1204" s="18"/>
      <c r="T1204" s="20"/>
    </row>
    <row r="1205" spans="7:20" x14ac:dyDescent="0.2">
      <c r="G1205" s="18"/>
      <c r="H1205" s="19"/>
      <c r="I1205" s="18"/>
      <c r="J1205" s="18"/>
      <c r="K1205" s="18"/>
      <c r="L1205" s="18"/>
      <c r="M1205" s="18"/>
      <c r="N1205" s="18"/>
      <c r="O1205" s="18"/>
      <c r="S1205" s="18"/>
      <c r="T1205" s="20"/>
    </row>
    <row r="1206" spans="7:20" x14ac:dyDescent="0.2">
      <c r="G1206" s="18"/>
      <c r="H1206" s="19"/>
      <c r="I1206" s="18"/>
      <c r="J1206" s="18"/>
      <c r="K1206" s="18"/>
      <c r="L1206" s="18"/>
      <c r="M1206" s="18"/>
      <c r="N1206" s="18"/>
      <c r="O1206" s="18"/>
      <c r="S1206" s="18"/>
      <c r="T1206" s="20"/>
    </row>
    <row r="1207" spans="7:20" x14ac:dyDescent="0.2">
      <c r="G1207" s="18"/>
      <c r="H1207" s="19"/>
      <c r="I1207" s="18"/>
      <c r="J1207" s="18"/>
      <c r="K1207" s="18"/>
      <c r="L1207" s="18"/>
      <c r="M1207" s="18"/>
      <c r="N1207" s="18"/>
      <c r="O1207" s="18"/>
      <c r="S1207" s="18"/>
      <c r="T1207" s="20"/>
    </row>
    <row r="1208" spans="7:20" x14ac:dyDescent="0.2">
      <c r="G1208" s="18"/>
      <c r="H1208" s="19"/>
      <c r="I1208" s="18"/>
      <c r="J1208" s="18"/>
      <c r="K1208" s="18"/>
      <c r="L1208" s="18"/>
      <c r="M1208" s="18"/>
      <c r="N1208" s="18"/>
      <c r="O1208" s="18"/>
      <c r="S1208" s="18"/>
      <c r="T1208" s="20"/>
    </row>
    <row r="1209" spans="7:20" x14ac:dyDescent="0.2">
      <c r="G1209" s="18"/>
      <c r="H1209" s="19"/>
      <c r="I1209" s="18"/>
      <c r="J1209" s="18"/>
      <c r="K1209" s="18"/>
      <c r="L1209" s="18"/>
      <c r="M1209" s="18"/>
      <c r="N1209" s="18"/>
      <c r="O1209" s="18"/>
      <c r="S1209" s="18"/>
      <c r="T1209" s="20"/>
    </row>
    <row r="1210" spans="7:20" x14ac:dyDescent="0.2">
      <c r="G1210" s="18"/>
      <c r="H1210" s="19"/>
      <c r="I1210" s="18"/>
      <c r="J1210" s="18"/>
      <c r="K1210" s="18"/>
      <c r="L1210" s="18"/>
      <c r="M1210" s="18"/>
      <c r="N1210" s="18"/>
      <c r="O1210" s="18"/>
      <c r="S1210" s="18"/>
      <c r="T1210" s="20"/>
    </row>
    <row r="1211" spans="7:20" x14ac:dyDescent="0.2">
      <c r="G1211" s="18"/>
      <c r="H1211" s="19"/>
      <c r="I1211" s="18"/>
      <c r="J1211" s="18"/>
      <c r="K1211" s="18"/>
      <c r="L1211" s="18"/>
      <c r="M1211" s="18"/>
      <c r="N1211" s="18"/>
      <c r="O1211" s="18"/>
      <c r="S1211" s="18"/>
      <c r="T1211" s="20"/>
    </row>
    <row r="1212" spans="7:20" x14ac:dyDescent="0.2">
      <c r="G1212" s="18"/>
      <c r="H1212" s="19"/>
      <c r="I1212" s="18"/>
      <c r="J1212" s="18"/>
      <c r="K1212" s="18"/>
      <c r="L1212" s="18"/>
      <c r="M1212" s="18"/>
      <c r="N1212" s="18"/>
      <c r="O1212" s="18"/>
      <c r="S1212" s="18"/>
      <c r="T1212" s="20"/>
    </row>
    <row r="1213" spans="7:20" x14ac:dyDescent="0.2">
      <c r="G1213" s="18"/>
      <c r="H1213" s="19"/>
      <c r="I1213" s="18"/>
      <c r="J1213" s="18"/>
      <c r="K1213" s="18"/>
      <c r="L1213" s="18"/>
      <c r="M1213" s="18"/>
      <c r="N1213" s="18"/>
      <c r="O1213" s="18"/>
      <c r="S1213" s="18"/>
      <c r="T1213" s="20"/>
    </row>
    <row r="1214" spans="7:20" x14ac:dyDescent="0.2">
      <c r="G1214" s="18"/>
      <c r="H1214" s="19"/>
      <c r="I1214" s="18"/>
      <c r="J1214" s="18"/>
      <c r="K1214" s="18"/>
      <c r="L1214" s="18"/>
      <c r="M1214" s="18"/>
      <c r="N1214" s="18"/>
      <c r="O1214" s="18"/>
      <c r="S1214" s="18"/>
      <c r="T1214" s="20"/>
    </row>
    <row r="1215" spans="7:20" x14ac:dyDescent="0.2">
      <c r="G1215" s="18"/>
      <c r="H1215" s="19"/>
      <c r="I1215" s="18"/>
      <c r="J1215" s="18"/>
      <c r="K1215" s="18"/>
      <c r="L1215" s="18"/>
      <c r="M1215" s="18"/>
      <c r="N1215" s="18"/>
      <c r="O1215" s="18"/>
      <c r="S1215" s="18"/>
      <c r="T1215" s="20"/>
    </row>
    <row r="1216" spans="7:20" x14ac:dyDescent="0.2">
      <c r="G1216" s="18"/>
      <c r="H1216" s="19"/>
      <c r="I1216" s="18"/>
      <c r="J1216" s="18"/>
      <c r="K1216" s="18"/>
      <c r="L1216" s="18"/>
      <c r="M1216" s="18"/>
      <c r="N1216" s="18"/>
      <c r="O1216" s="18"/>
      <c r="S1216" s="18"/>
      <c r="T1216" s="20"/>
    </row>
    <row r="1217" spans="7:20" x14ac:dyDescent="0.2">
      <c r="G1217" s="18"/>
      <c r="H1217" s="19"/>
      <c r="I1217" s="18"/>
      <c r="J1217" s="18"/>
      <c r="K1217" s="18"/>
      <c r="L1217" s="18"/>
      <c r="M1217" s="18"/>
      <c r="N1217" s="18"/>
      <c r="O1217" s="18"/>
      <c r="S1217" s="18"/>
      <c r="T1217" s="20"/>
    </row>
    <row r="1218" spans="7:20" x14ac:dyDescent="0.2">
      <c r="G1218" s="18"/>
      <c r="H1218" s="19"/>
      <c r="I1218" s="18"/>
      <c r="J1218" s="18"/>
      <c r="K1218" s="18"/>
      <c r="L1218" s="18"/>
      <c r="M1218" s="18"/>
      <c r="N1218" s="18"/>
      <c r="O1218" s="18"/>
      <c r="S1218" s="18"/>
      <c r="T1218" s="20"/>
    </row>
    <row r="1219" spans="7:20" x14ac:dyDescent="0.2">
      <c r="G1219" s="18"/>
      <c r="H1219" s="19"/>
      <c r="I1219" s="18"/>
      <c r="J1219" s="18"/>
      <c r="K1219" s="18"/>
      <c r="L1219" s="18"/>
      <c r="M1219" s="18"/>
      <c r="N1219" s="18"/>
      <c r="O1219" s="18"/>
      <c r="S1219" s="18"/>
      <c r="T1219" s="20"/>
    </row>
    <row r="1220" spans="7:20" x14ac:dyDescent="0.2">
      <c r="G1220" s="18"/>
      <c r="H1220" s="19"/>
      <c r="I1220" s="18"/>
      <c r="J1220" s="18"/>
      <c r="K1220" s="18"/>
      <c r="L1220" s="18"/>
      <c r="M1220" s="18"/>
      <c r="N1220" s="18"/>
      <c r="O1220" s="18"/>
      <c r="S1220" s="18"/>
      <c r="T1220" s="20"/>
    </row>
    <row r="1221" spans="7:20" x14ac:dyDescent="0.2">
      <c r="G1221" s="18"/>
      <c r="H1221" s="19"/>
      <c r="I1221" s="18"/>
      <c r="J1221" s="18"/>
      <c r="K1221" s="18"/>
      <c r="L1221" s="18"/>
      <c r="M1221" s="18"/>
      <c r="N1221" s="18"/>
      <c r="O1221" s="18"/>
      <c r="S1221" s="18"/>
      <c r="T1221" s="20"/>
    </row>
    <row r="1222" spans="7:20" x14ac:dyDescent="0.2">
      <c r="G1222" s="18"/>
      <c r="H1222" s="19"/>
      <c r="I1222" s="18"/>
      <c r="J1222" s="18"/>
      <c r="K1222" s="18"/>
      <c r="L1222" s="18"/>
      <c r="M1222" s="18"/>
      <c r="N1222" s="18"/>
      <c r="O1222" s="18"/>
      <c r="S1222" s="18"/>
      <c r="T1222" s="20"/>
    </row>
    <row r="1223" spans="7:20" x14ac:dyDescent="0.2">
      <c r="G1223" s="18"/>
      <c r="H1223" s="19"/>
      <c r="I1223" s="18"/>
      <c r="J1223" s="18"/>
      <c r="K1223" s="18"/>
      <c r="L1223" s="18"/>
      <c r="M1223" s="18"/>
      <c r="N1223" s="18"/>
      <c r="O1223" s="18"/>
      <c r="S1223" s="18"/>
      <c r="T1223" s="20"/>
    </row>
    <row r="1224" spans="7:20" x14ac:dyDescent="0.2">
      <c r="G1224" s="18"/>
      <c r="H1224" s="19"/>
      <c r="I1224" s="18"/>
      <c r="J1224" s="18"/>
      <c r="K1224" s="18"/>
      <c r="L1224" s="18"/>
      <c r="M1224" s="18"/>
      <c r="N1224" s="18"/>
      <c r="O1224" s="18"/>
      <c r="S1224" s="18"/>
      <c r="T1224" s="20"/>
    </row>
    <row r="1225" spans="7:20" x14ac:dyDescent="0.2">
      <c r="G1225" s="18"/>
      <c r="H1225" s="19"/>
      <c r="I1225" s="18"/>
      <c r="J1225" s="18"/>
      <c r="K1225" s="18"/>
      <c r="L1225" s="18"/>
      <c r="M1225" s="18"/>
      <c r="N1225" s="18"/>
      <c r="O1225" s="18"/>
      <c r="S1225" s="18"/>
      <c r="T1225" s="20"/>
    </row>
    <row r="1226" spans="7:20" x14ac:dyDescent="0.2">
      <c r="G1226" s="18"/>
      <c r="H1226" s="19"/>
      <c r="I1226" s="18"/>
      <c r="J1226" s="18"/>
      <c r="K1226" s="18"/>
      <c r="L1226" s="18"/>
      <c r="M1226" s="18"/>
      <c r="N1226" s="18"/>
      <c r="O1226" s="18"/>
      <c r="S1226" s="18"/>
      <c r="T1226" s="20"/>
    </row>
    <row r="1227" spans="7:20" x14ac:dyDescent="0.2">
      <c r="G1227" s="18"/>
      <c r="H1227" s="19"/>
      <c r="I1227" s="18"/>
      <c r="J1227" s="18"/>
      <c r="K1227" s="18"/>
      <c r="L1227" s="18"/>
      <c r="M1227" s="18"/>
      <c r="N1227" s="18"/>
      <c r="O1227" s="18"/>
      <c r="S1227" s="18"/>
      <c r="T1227" s="20"/>
    </row>
    <row r="1228" spans="7:20" x14ac:dyDescent="0.2">
      <c r="G1228" s="18"/>
      <c r="H1228" s="19"/>
      <c r="I1228" s="18"/>
      <c r="J1228" s="18"/>
      <c r="K1228" s="18"/>
      <c r="L1228" s="18"/>
      <c r="M1228" s="18"/>
      <c r="N1228" s="18"/>
      <c r="O1228" s="18"/>
      <c r="S1228" s="18"/>
      <c r="T1228" s="20"/>
    </row>
    <row r="1229" spans="7:20" x14ac:dyDescent="0.2">
      <c r="G1229" s="18"/>
      <c r="H1229" s="19"/>
      <c r="I1229" s="18"/>
      <c r="J1229" s="18"/>
      <c r="K1229" s="18"/>
      <c r="L1229" s="18"/>
      <c r="M1229" s="18"/>
      <c r="N1229" s="18"/>
      <c r="O1229" s="18"/>
      <c r="S1229" s="18"/>
      <c r="T1229" s="20"/>
    </row>
    <row r="1230" spans="7:20" x14ac:dyDescent="0.2">
      <c r="G1230" s="18"/>
      <c r="H1230" s="19"/>
      <c r="I1230" s="18"/>
      <c r="J1230" s="18"/>
      <c r="K1230" s="18"/>
      <c r="L1230" s="18"/>
      <c r="M1230" s="18"/>
      <c r="N1230" s="18"/>
      <c r="O1230" s="18"/>
      <c r="S1230" s="18"/>
      <c r="T1230" s="20"/>
    </row>
    <row r="1231" spans="7:20" x14ac:dyDescent="0.2">
      <c r="G1231" s="18"/>
      <c r="H1231" s="19"/>
      <c r="I1231" s="18"/>
      <c r="J1231" s="18"/>
      <c r="K1231" s="18"/>
      <c r="L1231" s="18"/>
      <c r="M1231" s="18"/>
      <c r="N1231" s="18"/>
      <c r="O1231" s="18"/>
      <c r="S1231" s="18"/>
      <c r="T1231" s="20"/>
    </row>
    <row r="1232" spans="7:20" x14ac:dyDescent="0.2">
      <c r="G1232" s="18"/>
      <c r="H1232" s="19"/>
      <c r="I1232" s="18"/>
      <c r="J1232" s="18"/>
      <c r="K1232" s="18"/>
      <c r="L1232" s="18"/>
      <c r="M1232" s="18"/>
      <c r="N1232" s="18"/>
      <c r="O1232" s="18"/>
      <c r="S1232" s="18"/>
      <c r="T1232" s="20"/>
    </row>
    <row r="1233" spans="7:20" x14ac:dyDescent="0.2">
      <c r="G1233" s="18"/>
      <c r="H1233" s="19"/>
      <c r="I1233" s="18"/>
      <c r="J1233" s="18"/>
      <c r="K1233" s="18"/>
      <c r="L1233" s="18"/>
      <c r="M1233" s="18"/>
      <c r="N1233" s="18"/>
      <c r="O1233" s="18"/>
      <c r="S1233" s="18"/>
      <c r="T1233" s="20"/>
    </row>
    <row r="1234" spans="7:20" x14ac:dyDescent="0.2">
      <c r="G1234" s="18"/>
      <c r="H1234" s="19"/>
      <c r="I1234" s="18"/>
      <c r="J1234" s="18"/>
      <c r="K1234" s="18"/>
      <c r="L1234" s="18"/>
      <c r="M1234" s="18"/>
      <c r="N1234" s="18"/>
      <c r="O1234" s="18"/>
      <c r="S1234" s="18"/>
      <c r="T1234" s="20"/>
    </row>
    <row r="1235" spans="7:20" x14ac:dyDescent="0.2">
      <c r="G1235" s="18"/>
      <c r="H1235" s="19"/>
      <c r="I1235" s="18"/>
      <c r="J1235" s="18"/>
      <c r="K1235" s="18"/>
      <c r="L1235" s="18"/>
      <c r="M1235" s="18"/>
      <c r="N1235" s="18"/>
      <c r="O1235" s="18"/>
      <c r="S1235" s="18"/>
      <c r="T1235" s="20"/>
    </row>
    <row r="1236" spans="7:20" x14ac:dyDescent="0.2">
      <c r="G1236" s="18"/>
      <c r="H1236" s="19"/>
      <c r="I1236" s="18"/>
      <c r="J1236" s="18"/>
      <c r="K1236" s="18"/>
      <c r="L1236" s="18"/>
      <c r="M1236" s="18"/>
      <c r="N1236" s="18"/>
      <c r="O1236" s="18"/>
      <c r="S1236" s="18"/>
      <c r="T1236" s="20"/>
    </row>
    <row r="1237" spans="7:20" x14ac:dyDescent="0.2">
      <c r="G1237" s="18"/>
      <c r="H1237" s="19"/>
      <c r="I1237" s="18"/>
      <c r="J1237" s="18"/>
      <c r="K1237" s="18"/>
      <c r="L1237" s="18"/>
      <c r="M1237" s="18"/>
      <c r="N1237" s="18"/>
      <c r="O1237" s="18"/>
      <c r="S1237" s="18"/>
      <c r="T1237" s="20"/>
    </row>
    <row r="1238" spans="7:20" x14ac:dyDescent="0.2">
      <c r="G1238" s="18"/>
      <c r="H1238" s="19"/>
      <c r="I1238" s="18"/>
      <c r="J1238" s="18"/>
      <c r="K1238" s="18"/>
      <c r="L1238" s="18"/>
      <c r="M1238" s="18"/>
      <c r="N1238" s="18"/>
      <c r="O1238" s="18"/>
      <c r="S1238" s="18"/>
      <c r="T1238" s="20"/>
    </row>
    <row r="1239" spans="7:20" x14ac:dyDescent="0.2">
      <c r="G1239" s="18"/>
      <c r="H1239" s="19"/>
      <c r="I1239" s="18"/>
      <c r="J1239" s="18"/>
      <c r="K1239" s="18"/>
      <c r="L1239" s="18"/>
      <c r="M1239" s="18"/>
      <c r="N1239" s="18"/>
      <c r="O1239" s="18"/>
      <c r="S1239" s="18"/>
      <c r="T1239" s="20"/>
    </row>
    <row r="1240" spans="7:20" x14ac:dyDescent="0.2">
      <c r="G1240" s="18"/>
      <c r="H1240" s="19"/>
      <c r="I1240" s="18"/>
      <c r="J1240" s="18"/>
      <c r="K1240" s="18"/>
      <c r="L1240" s="18"/>
      <c r="M1240" s="18"/>
      <c r="N1240" s="18"/>
      <c r="O1240" s="18"/>
      <c r="S1240" s="18"/>
      <c r="T1240" s="20"/>
    </row>
    <row r="1241" spans="7:20" x14ac:dyDescent="0.2">
      <c r="G1241" s="18"/>
      <c r="H1241" s="19"/>
      <c r="I1241" s="18"/>
      <c r="J1241" s="18"/>
      <c r="K1241" s="18"/>
      <c r="L1241" s="18"/>
      <c r="M1241" s="18"/>
      <c r="N1241" s="18"/>
      <c r="O1241" s="18"/>
      <c r="S1241" s="18"/>
      <c r="T1241" s="20"/>
    </row>
    <row r="1242" spans="7:20" x14ac:dyDescent="0.2">
      <c r="G1242" s="18"/>
      <c r="H1242" s="19"/>
      <c r="I1242" s="18"/>
      <c r="J1242" s="18"/>
      <c r="K1242" s="18"/>
      <c r="L1242" s="18"/>
      <c r="M1242" s="18"/>
      <c r="N1242" s="18"/>
      <c r="O1242" s="18"/>
      <c r="S1242" s="18"/>
      <c r="T1242" s="20"/>
    </row>
    <row r="1243" spans="7:20" x14ac:dyDescent="0.2">
      <c r="G1243" s="18"/>
      <c r="H1243" s="19"/>
      <c r="I1243" s="18"/>
      <c r="J1243" s="18"/>
      <c r="K1243" s="18"/>
      <c r="L1243" s="18"/>
      <c r="M1243" s="18"/>
      <c r="N1243" s="18"/>
      <c r="O1243" s="18"/>
      <c r="S1243" s="18"/>
      <c r="T1243" s="20"/>
    </row>
    <row r="1244" spans="7:20" x14ac:dyDescent="0.2">
      <c r="G1244" s="18"/>
      <c r="H1244" s="19"/>
      <c r="I1244" s="18"/>
      <c r="J1244" s="18"/>
      <c r="K1244" s="18"/>
      <c r="L1244" s="18"/>
      <c r="M1244" s="18"/>
      <c r="N1244" s="18"/>
      <c r="O1244" s="18"/>
      <c r="S1244" s="18"/>
      <c r="T1244" s="20"/>
    </row>
    <row r="1245" spans="7:20" x14ac:dyDescent="0.2">
      <c r="G1245" s="18"/>
      <c r="H1245" s="19"/>
      <c r="I1245" s="18"/>
      <c r="J1245" s="18"/>
      <c r="K1245" s="18"/>
      <c r="L1245" s="18"/>
      <c r="M1245" s="18"/>
      <c r="N1245" s="18"/>
      <c r="O1245" s="18"/>
      <c r="S1245" s="18"/>
      <c r="T1245" s="20"/>
    </row>
    <row r="1246" spans="7:20" x14ac:dyDescent="0.2">
      <c r="G1246" s="18"/>
      <c r="H1246" s="19"/>
      <c r="I1246" s="18"/>
      <c r="J1246" s="18"/>
      <c r="K1246" s="18"/>
      <c r="L1246" s="18"/>
      <c r="M1246" s="18"/>
      <c r="N1246" s="18"/>
      <c r="O1246" s="18"/>
      <c r="S1246" s="18"/>
      <c r="T1246" s="20"/>
    </row>
    <row r="1247" spans="7:20" x14ac:dyDescent="0.2">
      <c r="G1247" s="18"/>
      <c r="H1247" s="19"/>
      <c r="I1247" s="18"/>
      <c r="J1247" s="18"/>
      <c r="K1247" s="18"/>
      <c r="L1247" s="18"/>
      <c r="M1247" s="18"/>
      <c r="N1247" s="18"/>
      <c r="O1247" s="18"/>
      <c r="S1247" s="18"/>
      <c r="T1247" s="20"/>
    </row>
    <row r="1248" spans="7:20" x14ac:dyDescent="0.2">
      <c r="G1248" s="18"/>
      <c r="H1248" s="19"/>
      <c r="I1248" s="18"/>
      <c r="J1248" s="18"/>
      <c r="K1248" s="18"/>
      <c r="L1248" s="18"/>
      <c r="M1248" s="18"/>
      <c r="N1248" s="18"/>
      <c r="O1248" s="18"/>
      <c r="S1248" s="18"/>
      <c r="T1248" s="20"/>
    </row>
    <row r="1249" spans="7:20" x14ac:dyDescent="0.2">
      <c r="G1249" s="18"/>
      <c r="H1249" s="19"/>
      <c r="I1249" s="18"/>
      <c r="J1249" s="18"/>
      <c r="K1249" s="18"/>
      <c r="L1249" s="18"/>
      <c r="M1249" s="18"/>
      <c r="N1249" s="18"/>
      <c r="O1249" s="18"/>
      <c r="S1249" s="18"/>
      <c r="T1249" s="20"/>
    </row>
    <row r="1250" spans="7:20" x14ac:dyDescent="0.2">
      <c r="G1250" s="18"/>
      <c r="H1250" s="19"/>
      <c r="I1250" s="18"/>
      <c r="J1250" s="18"/>
      <c r="K1250" s="18"/>
      <c r="L1250" s="18"/>
      <c r="M1250" s="18"/>
      <c r="N1250" s="18"/>
      <c r="O1250" s="18"/>
      <c r="S1250" s="18"/>
      <c r="T1250" s="20"/>
    </row>
    <row r="1251" spans="7:20" x14ac:dyDescent="0.2">
      <c r="G1251" s="18"/>
      <c r="H1251" s="19"/>
      <c r="I1251" s="18"/>
      <c r="J1251" s="18"/>
      <c r="K1251" s="18"/>
      <c r="L1251" s="18"/>
      <c r="M1251" s="18"/>
      <c r="N1251" s="18"/>
      <c r="O1251" s="18"/>
      <c r="S1251" s="18"/>
      <c r="T1251" s="20"/>
    </row>
    <row r="1252" spans="7:20" x14ac:dyDescent="0.2">
      <c r="G1252" s="18"/>
      <c r="H1252" s="19"/>
      <c r="I1252" s="18"/>
      <c r="J1252" s="18"/>
      <c r="K1252" s="18"/>
      <c r="L1252" s="18"/>
      <c r="M1252" s="18"/>
      <c r="N1252" s="18"/>
      <c r="O1252" s="18"/>
      <c r="S1252" s="18"/>
      <c r="T1252" s="20"/>
    </row>
    <row r="1253" spans="7:20" x14ac:dyDescent="0.2">
      <c r="G1253" s="18"/>
      <c r="H1253" s="19"/>
      <c r="I1253" s="18"/>
      <c r="J1253" s="18"/>
      <c r="K1253" s="18"/>
      <c r="L1253" s="18"/>
      <c r="M1253" s="18"/>
      <c r="N1253" s="18"/>
      <c r="O1253" s="18"/>
      <c r="S1253" s="18"/>
      <c r="T1253" s="20"/>
    </row>
    <row r="1254" spans="7:20" x14ac:dyDescent="0.2">
      <c r="G1254" s="18"/>
      <c r="H1254" s="19"/>
      <c r="I1254" s="18"/>
      <c r="J1254" s="18"/>
      <c r="K1254" s="18"/>
      <c r="L1254" s="18"/>
      <c r="M1254" s="18"/>
      <c r="N1254" s="18"/>
      <c r="O1254" s="18"/>
      <c r="S1254" s="18"/>
      <c r="T1254" s="20"/>
    </row>
    <row r="1255" spans="7:20" x14ac:dyDescent="0.2">
      <c r="G1255" s="18"/>
      <c r="H1255" s="19"/>
      <c r="I1255" s="18"/>
      <c r="J1255" s="18"/>
      <c r="K1255" s="18"/>
      <c r="L1255" s="18"/>
      <c r="M1255" s="18"/>
      <c r="N1255" s="18"/>
      <c r="O1255" s="18"/>
      <c r="S1255" s="18"/>
      <c r="T1255" s="20"/>
    </row>
    <row r="1256" spans="7:20" x14ac:dyDescent="0.2">
      <c r="G1256" s="18"/>
      <c r="H1256" s="19"/>
      <c r="I1256" s="18"/>
      <c r="J1256" s="18"/>
      <c r="K1256" s="18"/>
      <c r="L1256" s="18"/>
      <c r="M1256" s="18"/>
      <c r="N1256" s="18"/>
      <c r="O1256" s="18"/>
      <c r="S1256" s="18"/>
      <c r="T1256" s="20"/>
    </row>
    <row r="1257" spans="7:20" x14ac:dyDescent="0.2">
      <c r="G1257" s="18"/>
      <c r="H1257" s="19"/>
      <c r="I1257" s="18"/>
      <c r="J1257" s="18"/>
      <c r="K1257" s="18"/>
      <c r="L1257" s="18"/>
      <c r="M1257" s="18"/>
      <c r="N1257" s="18"/>
      <c r="O1257" s="18"/>
      <c r="S1257" s="18"/>
      <c r="T1257" s="20"/>
    </row>
    <row r="1258" spans="7:20" x14ac:dyDescent="0.2">
      <c r="G1258" s="18"/>
      <c r="H1258" s="19"/>
      <c r="I1258" s="18"/>
      <c r="J1258" s="18"/>
      <c r="K1258" s="18"/>
      <c r="L1258" s="18"/>
      <c r="M1258" s="18"/>
      <c r="N1258" s="18"/>
      <c r="O1258" s="18"/>
      <c r="S1258" s="18"/>
      <c r="T1258" s="20"/>
    </row>
    <row r="1259" spans="7:20" x14ac:dyDescent="0.2">
      <c r="G1259" s="18"/>
      <c r="H1259" s="19"/>
      <c r="I1259" s="18"/>
      <c r="J1259" s="18"/>
      <c r="K1259" s="18"/>
      <c r="L1259" s="18"/>
      <c r="M1259" s="18"/>
      <c r="N1259" s="18"/>
      <c r="O1259" s="18"/>
      <c r="S1259" s="18"/>
      <c r="T1259" s="20"/>
    </row>
    <row r="1260" spans="7:20" x14ac:dyDescent="0.2">
      <c r="G1260" s="18"/>
      <c r="H1260" s="19"/>
      <c r="I1260" s="18"/>
      <c r="J1260" s="18"/>
      <c r="K1260" s="18"/>
      <c r="L1260" s="18"/>
      <c r="M1260" s="18"/>
      <c r="N1260" s="18"/>
      <c r="O1260" s="18"/>
      <c r="S1260" s="18"/>
      <c r="T1260" s="20"/>
    </row>
    <row r="1261" spans="7:20" x14ac:dyDescent="0.2">
      <c r="G1261" s="18"/>
      <c r="H1261" s="19"/>
      <c r="I1261" s="18"/>
      <c r="J1261" s="18"/>
      <c r="K1261" s="18"/>
      <c r="L1261" s="18"/>
      <c r="M1261" s="18"/>
      <c r="N1261" s="18"/>
      <c r="O1261" s="18"/>
      <c r="S1261" s="18"/>
      <c r="T1261" s="20"/>
    </row>
    <row r="1262" spans="7:20" x14ac:dyDescent="0.2">
      <c r="G1262" s="18"/>
      <c r="H1262" s="19"/>
      <c r="I1262" s="18"/>
      <c r="J1262" s="18"/>
      <c r="K1262" s="18"/>
      <c r="L1262" s="18"/>
      <c r="M1262" s="18"/>
      <c r="N1262" s="18"/>
      <c r="O1262" s="18"/>
      <c r="S1262" s="18"/>
      <c r="T1262" s="20"/>
    </row>
    <row r="1263" spans="7:20" x14ac:dyDescent="0.2">
      <c r="G1263" s="18"/>
      <c r="H1263" s="19"/>
      <c r="I1263" s="18"/>
      <c r="J1263" s="18"/>
      <c r="K1263" s="18"/>
      <c r="L1263" s="18"/>
      <c r="M1263" s="18"/>
      <c r="N1263" s="18"/>
      <c r="O1263" s="18"/>
      <c r="S1263" s="18"/>
      <c r="T1263" s="20"/>
    </row>
    <row r="1264" spans="7:20" x14ac:dyDescent="0.2">
      <c r="G1264" s="18"/>
      <c r="H1264" s="19"/>
      <c r="I1264" s="18"/>
      <c r="J1264" s="18"/>
      <c r="K1264" s="18"/>
      <c r="L1264" s="18"/>
      <c r="M1264" s="18"/>
      <c r="N1264" s="18"/>
      <c r="O1264" s="18"/>
      <c r="S1264" s="18"/>
      <c r="T1264" s="20"/>
    </row>
    <row r="1265" spans="7:20" x14ac:dyDescent="0.2">
      <c r="G1265" s="18"/>
      <c r="H1265" s="19"/>
      <c r="I1265" s="18"/>
      <c r="J1265" s="18"/>
      <c r="K1265" s="18"/>
      <c r="L1265" s="18"/>
      <c r="M1265" s="18"/>
      <c r="N1265" s="18"/>
      <c r="O1265" s="18"/>
      <c r="S1265" s="18"/>
      <c r="T1265" s="20"/>
    </row>
    <row r="1266" spans="7:20" x14ac:dyDescent="0.2">
      <c r="G1266" s="18"/>
      <c r="H1266" s="19"/>
      <c r="I1266" s="18"/>
      <c r="J1266" s="18"/>
      <c r="K1266" s="18"/>
      <c r="L1266" s="18"/>
      <c r="M1266" s="18"/>
      <c r="N1266" s="18"/>
      <c r="O1266" s="18"/>
      <c r="S1266" s="18"/>
      <c r="T1266" s="20"/>
    </row>
    <row r="1267" spans="7:20" x14ac:dyDescent="0.2">
      <c r="G1267" s="18"/>
      <c r="H1267" s="19"/>
      <c r="I1267" s="18"/>
      <c r="J1267" s="18"/>
      <c r="K1267" s="18"/>
      <c r="L1267" s="18"/>
      <c r="M1267" s="18"/>
      <c r="N1267" s="18"/>
      <c r="O1267" s="18"/>
      <c r="S1267" s="18"/>
      <c r="T1267" s="20"/>
    </row>
    <row r="1268" spans="7:20" x14ac:dyDescent="0.2">
      <c r="G1268" s="18"/>
      <c r="H1268" s="19"/>
      <c r="I1268" s="18"/>
      <c r="J1268" s="18"/>
      <c r="K1268" s="18"/>
      <c r="L1268" s="18"/>
      <c r="M1268" s="18"/>
      <c r="N1268" s="18"/>
      <c r="O1268" s="18"/>
      <c r="S1268" s="18"/>
      <c r="T1268" s="20"/>
    </row>
    <row r="1269" spans="7:20" x14ac:dyDescent="0.2">
      <c r="G1269" s="18"/>
      <c r="H1269" s="19"/>
      <c r="I1269" s="18"/>
      <c r="J1269" s="18"/>
      <c r="K1269" s="18"/>
      <c r="L1269" s="18"/>
      <c r="M1269" s="18"/>
      <c r="N1269" s="18"/>
      <c r="O1269" s="18"/>
      <c r="S1269" s="18"/>
      <c r="T1269" s="20"/>
    </row>
    <row r="1270" spans="7:20" x14ac:dyDescent="0.2">
      <c r="G1270" s="18"/>
      <c r="H1270" s="19"/>
      <c r="I1270" s="18"/>
      <c r="J1270" s="18"/>
      <c r="K1270" s="18"/>
      <c r="L1270" s="18"/>
      <c r="M1270" s="18"/>
      <c r="N1270" s="18"/>
      <c r="O1270" s="18"/>
      <c r="S1270" s="18"/>
      <c r="T1270" s="20"/>
    </row>
    <row r="1271" spans="7:20" x14ac:dyDescent="0.2">
      <c r="G1271" s="18"/>
      <c r="H1271" s="19"/>
      <c r="I1271" s="18"/>
      <c r="J1271" s="18"/>
      <c r="K1271" s="18"/>
      <c r="L1271" s="18"/>
      <c r="M1271" s="18"/>
      <c r="N1271" s="18"/>
      <c r="O1271" s="18"/>
      <c r="S1271" s="18"/>
      <c r="T1271" s="20"/>
    </row>
    <row r="1272" spans="7:20" x14ac:dyDescent="0.2">
      <c r="G1272" s="18"/>
      <c r="H1272" s="19"/>
      <c r="I1272" s="18"/>
      <c r="J1272" s="18"/>
      <c r="K1272" s="18"/>
      <c r="L1272" s="18"/>
      <c r="M1272" s="18"/>
      <c r="N1272" s="18"/>
      <c r="O1272" s="18"/>
      <c r="S1272" s="18"/>
      <c r="T1272" s="20"/>
    </row>
    <row r="1273" spans="7:20" x14ac:dyDescent="0.2">
      <c r="G1273" s="18"/>
      <c r="H1273" s="19"/>
      <c r="I1273" s="18"/>
      <c r="J1273" s="18"/>
      <c r="K1273" s="18"/>
      <c r="L1273" s="18"/>
      <c r="M1273" s="18"/>
      <c r="N1273" s="18"/>
      <c r="O1273" s="18"/>
      <c r="S1273" s="18"/>
      <c r="T1273" s="20"/>
    </row>
    <row r="1274" spans="7:20" x14ac:dyDescent="0.2">
      <c r="G1274" s="18"/>
      <c r="H1274" s="19"/>
      <c r="I1274" s="18"/>
      <c r="J1274" s="18"/>
      <c r="K1274" s="18"/>
      <c r="L1274" s="18"/>
      <c r="M1274" s="18"/>
      <c r="N1274" s="18"/>
      <c r="O1274" s="18"/>
      <c r="S1274" s="18"/>
      <c r="T1274" s="20"/>
    </row>
    <row r="1275" spans="7:20" x14ac:dyDescent="0.2">
      <c r="G1275" s="18"/>
      <c r="H1275" s="19"/>
      <c r="I1275" s="18"/>
      <c r="J1275" s="18"/>
      <c r="K1275" s="18"/>
      <c r="L1275" s="18"/>
      <c r="M1275" s="18"/>
      <c r="N1275" s="18"/>
      <c r="O1275" s="18"/>
      <c r="S1275" s="18"/>
      <c r="T1275" s="20"/>
    </row>
    <row r="1276" spans="7:20" x14ac:dyDescent="0.2">
      <c r="G1276" s="18"/>
      <c r="H1276" s="19"/>
      <c r="I1276" s="18"/>
      <c r="J1276" s="18"/>
      <c r="K1276" s="18"/>
      <c r="L1276" s="18"/>
      <c r="M1276" s="18"/>
      <c r="N1276" s="18"/>
      <c r="O1276" s="18"/>
      <c r="S1276" s="18"/>
      <c r="T1276" s="20"/>
    </row>
    <row r="1277" spans="7:20" x14ac:dyDescent="0.2">
      <c r="G1277" s="18"/>
      <c r="H1277" s="19"/>
      <c r="I1277" s="18"/>
      <c r="J1277" s="18"/>
      <c r="K1277" s="18"/>
      <c r="L1277" s="18"/>
      <c r="M1277" s="18"/>
      <c r="N1277" s="18"/>
      <c r="O1277" s="18"/>
      <c r="S1277" s="18"/>
      <c r="T1277" s="20"/>
    </row>
    <row r="1278" spans="7:20" x14ac:dyDescent="0.2">
      <c r="G1278" s="18"/>
      <c r="H1278" s="19"/>
      <c r="I1278" s="18"/>
      <c r="J1278" s="18"/>
      <c r="K1278" s="18"/>
      <c r="L1278" s="18"/>
      <c r="M1278" s="18"/>
      <c r="N1278" s="18"/>
      <c r="O1278" s="18"/>
      <c r="S1278" s="18"/>
      <c r="T1278" s="20"/>
    </row>
    <row r="1279" spans="7:20" x14ac:dyDescent="0.2">
      <c r="G1279" s="18"/>
      <c r="H1279" s="19"/>
      <c r="I1279" s="18"/>
      <c r="J1279" s="18"/>
      <c r="K1279" s="18"/>
      <c r="L1279" s="18"/>
      <c r="M1279" s="18"/>
      <c r="N1279" s="18"/>
      <c r="O1279" s="18"/>
      <c r="S1279" s="18"/>
      <c r="T1279" s="20"/>
    </row>
    <row r="1280" spans="7:20" x14ac:dyDescent="0.2">
      <c r="G1280" s="18"/>
      <c r="H1280" s="19"/>
      <c r="I1280" s="18"/>
      <c r="J1280" s="18"/>
      <c r="K1280" s="18"/>
      <c r="L1280" s="18"/>
      <c r="M1280" s="18"/>
      <c r="N1280" s="18"/>
      <c r="O1280" s="18"/>
      <c r="S1280" s="18"/>
      <c r="T1280" s="20"/>
    </row>
    <row r="1281" spans="7:20" x14ac:dyDescent="0.2">
      <c r="G1281" s="18"/>
      <c r="H1281" s="19"/>
      <c r="I1281" s="18"/>
      <c r="J1281" s="18"/>
      <c r="K1281" s="18"/>
      <c r="L1281" s="18"/>
      <c r="M1281" s="18"/>
      <c r="N1281" s="18"/>
      <c r="O1281" s="18"/>
      <c r="S1281" s="18"/>
      <c r="T1281" s="20"/>
    </row>
    <row r="1282" spans="7:20" x14ac:dyDescent="0.2">
      <c r="G1282" s="18"/>
      <c r="H1282" s="19"/>
      <c r="I1282" s="18"/>
      <c r="J1282" s="18"/>
      <c r="K1282" s="18"/>
      <c r="L1282" s="18"/>
      <c r="M1282" s="18"/>
      <c r="N1282" s="18"/>
      <c r="O1282" s="18"/>
      <c r="S1282" s="18"/>
      <c r="T1282" s="20"/>
    </row>
    <row r="1283" spans="7:20" x14ac:dyDescent="0.2">
      <c r="G1283" s="18"/>
      <c r="H1283" s="19"/>
      <c r="I1283" s="18"/>
      <c r="J1283" s="18"/>
      <c r="K1283" s="18"/>
      <c r="L1283" s="18"/>
      <c r="M1283" s="18"/>
      <c r="N1283" s="18"/>
      <c r="O1283" s="18"/>
      <c r="S1283" s="18"/>
      <c r="T1283" s="20"/>
    </row>
    <row r="1284" spans="7:20" x14ac:dyDescent="0.2">
      <c r="G1284" s="18"/>
      <c r="H1284" s="19"/>
      <c r="I1284" s="18"/>
      <c r="J1284" s="18"/>
      <c r="K1284" s="18"/>
      <c r="L1284" s="18"/>
      <c r="M1284" s="18"/>
      <c r="N1284" s="18"/>
      <c r="O1284" s="18"/>
      <c r="S1284" s="18"/>
      <c r="T1284" s="20"/>
    </row>
    <row r="1285" spans="7:20" x14ac:dyDescent="0.2">
      <c r="G1285" s="18"/>
      <c r="H1285" s="19"/>
      <c r="I1285" s="18"/>
      <c r="J1285" s="18"/>
      <c r="K1285" s="18"/>
      <c r="L1285" s="18"/>
      <c r="M1285" s="18"/>
      <c r="N1285" s="18"/>
      <c r="O1285" s="18"/>
      <c r="S1285" s="18"/>
      <c r="T1285" s="20"/>
    </row>
    <row r="1286" spans="7:20" x14ac:dyDescent="0.2">
      <c r="G1286" s="18"/>
      <c r="H1286" s="19"/>
      <c r="I1286" s="18"/>
      <c r="J1286" s="18"/>
      <c r="K1286" s="18"/>
      <c r="L1286" s="18"/>
      <c r="M1286" s="18"/>
      <c r="N1286" s="18"/>
      <c r="O1286" s="18"/>
      <c r="S1286" s="18"/>
      <c r="T1286" s="20"/>
    </row>
    <row r="1287" spans="7:20" x14ac:dyDescent="0.2">
      <c r="G1287" s="18"/>
      <c r="H1287" s="19"/>
      <c r="I1287" s="18"/>
      <c r="J1287" s="18"/>
      <c r="K1287" s="18"/>
      <c r="L1287" s="18"/>
      <c r="M1287" s="18"/>
      <c r="N1287" s="18"/>
      <c r="O1287" s="18"/>
      <c r="S1287" s="18"/>
      <c r="T1287" s="20"/>
    </row>
    <row r="1288" spans="7:20" x14ac:dyDescent="0.2">
      <c r="G1288" s="18"/>
      <c r="H1288" s="19"/>
      <c r="I1288" s="18"/>
      <c r="J1288" s="18"/>
      <c r="K1288" s="18"/>
      <c r="L1288" s="18"/>
      <c r="M1288" s="18"/>
      <c r="N1288" s="18"/>
      <c r="O1288" s="18"/>
      <c r="S1288" s="18"/>
      <c r="T1288" s="20"/>
    </row>
    <row r="1289" spans="7:20" x14ac:dyDescent="0.2">
      <c r="G1289" s="18"/>
      <c r="H1289" s="19"/>
      <c r="I1289" s="18"/>
      <c r="J1289" s="18"/>
      <c r="K1289" s="18"/>
      <c r="L1289" s="18"/>
      <c r="M1289" s="18"/>
      <c r="N1289" s="18"/>
      <c r="O1289" s="18"/>
      <c r="S1289" s="18"/>
      <c r="T1289" s="20"/>
    </row>
    <row r="1290" spans="7:20" x14ac:dyDescent="0.2">
      <c r="G1290" s="18"/>
      <c r="H1290" s="19"/>
      <c r="I1290" s="18"/>
      <c r="J1290" s="18"/>
      <c r="K1290" s="18"/>
      <c r="L1290" s="18"/>
      <c r="M1290" s="18"/>
      <c r="N1290" s="18"/>
      <c r="O1290" s="18"/>
      <c r="S1290" s="18"/>
      <c r="T1290" s="20"/>
    </row>
    <row r="1291" spans="7:20" x14ac:dyDescent="0.2">
      <c r="G1291" s="18"/>
      <c r="H1291" s="19"/>
      <c r="I1291" s="18"/>
      <c r="J1291" s="18"/>
      <c r="K1291" s="18"/>
      <c r="L1291" s="18"/>
      <c r="M1291" s="18"/>
      <c r="N1291" s="18"/>
      <c r="O1291" s="18"/>
      <c r="S1291" s="18"/>
      <c r="T1291" s="20"/>
    </row>
    <row r="1292" spans="7:20" x14ac:dyDescent="0.2">
      <c r="G1292" s="18"/>
      <c r="H1292" s="19"/>
      <c r="I1292" s="18"/>
      <c r="J1292" s="18"/>
      <c r="K1292" s="18"/>
      <c r="L1292" s="18"/>
      <c r="M1292" s="18"/>
      <c r="N1292" s="18"/>
      <c r="O1292" s="18"/>
      <c r="S1292" s="18"/>
      <c r="T1292" s="20"/>
    </row>
    <row r="1293" spans="7:20" x14ac:dyDescent="0.2">
      <c r="G1293" s="18"/>
      <c r="H1293" s="19"/>
      <c r="I1293" s="18"/>
      <c r="J1293" s="18"/>
      <c r="K1293" s="18"/>
      <c r="L1293" s="18"/>
      <c r="M1293" s="18"/>
      <c r="N1293" s="18"/>
      <c r="O1293" s="18"/>
      <c r="S1293" s="18"/>
      <c r="T1293" s="20"/>
    </row>
    <row r="1294" spans="7:20" x14ac:dyDescent="0.2">
      <c r="G1294" s="18"/>
      <c r="H1294" s="19"/>
      <c r="I1294" s="18"/>
      <c r="J1294" s="18"/>
      <c r="K1294" s="18"/>
      <c r="L1294" s="18"/>
      <c r="M1294" s="18"/>
      <c r="N1294" s="18"/>
      <c r="O1294" s="18"/>
      <c r="S1294" s="18"/>
      <c r="T1294" s="20"/>
    </row>
    <row r="1295" spans="7:20" x14ac:dyDescent="0.2">
      <c r="G1295" s="18"/>
      <c r="H1295" s="19"/>
      <c r="I1295" s="18"/>
      <c r="J1295" s="18"/>
      <c r="K1295" s="18"/>
      <c r="L1295" s="18"/>
      <c r="M1295" s="18"/>
      <c r="N1295" s="18"/>
      <c r="O1295" s="18"/>
      <c r="S1295" s="18"/>
      <c r="T1295" s="20"/>
    </row>
    <row r="1296" spans="7:20" x14ac:dyDescent="0.2">
      <c r="G1296" s="18"/>
      <c r="H1296" s="19"/>
      <c r="I1296" s="18"/>
      <c r="J1296" s="18"/>
      <c r="K1296" s="18"/>
      <c r="L1296" s="18"/>
      <c r="M1296" s="18"/>
      <c r="N1296" s="18"/>
      <c r="O1296" s="18"/>
      <c r="S1296" s="18"/>
      <c r="T1296" s="20"/>
    </row>
    <row r="1297" spans="7:20" x14ac:dyDescent="0.2">
      <c r="G1297" s="18"/>
      <c r="H1297" s="19"/>
      <c r="I1297" s="18"/>
      <c r="J1297" s="18"/>
      <c r="K1297" s="18"/>
      <c r="L1297" s="18"/>
      <c r="M1297" s="18"/>
      <c r="N1297" s="18"/>
      <c r="O1297" s="18"/>
      <c r="S1297" s="18"/>
      <c r="T1297" s="20"/>
    </row>
    <row r="1298" spans="7:20" x14ac:dyDescent="0.2">
      <c r="G1298" s="18"/>
      <c r="H1298" s="19"/>
      <c r="I1298" s="18"/>
      <c r="J1298" s="18"/>
      <c r="K1298" s="18"/>
      <c r="L1298" s="18"/>
      <c r="M1298" s="18"/>
      <c r="N1298" s="18"/>
      <c r="O1298" s="18"/>
      <c r="S1298" s="18"/>
      <c r="T1298" s="20"/>
    </row>
    <row r="1299" spans="7:20" x14ac:dyDescent="0.2">
      <c r="G1299" s="18"/>
      <c r="H1299" s="19"/>
      <c r="I1299" s="18"/>
      <c r="J1299" s="18"/>
      <c r="K1299" s="18"/>
      <c r="L1299" s="18"/>
      <c r="M1299" s="18"/>
      <c r="N1299" s="18"/>
      <c r="O1299" s="18"/>
      <c r="S1299" s="18"/>
      <c r="T1299" s="20"/>
    </row>
    <row r="1300" spans="7:20" x14ac:dyDescent="0.2">
      <c r="G1300" s="18"/>
      <c r="H1300" s="19"/>
      <c r="I1300" s="18"/>
      <c r="J1300" s="18"/>
      <c r="K1300" s="18"/>
      <c r="L1300" s="18"/>
      <c r="M1300" s="18"/>
      <c r="N1300" s="18"/>
      <c r="O1300" s="18"/>
      <c r="S1300" s="18"/>
      <c r="T1300" s="20"/>
    </row>
    <row r="1301" spans="7:20" x14ac:dyDescent="0.2">
      <c r="G1301" s="18"/>
      <c r="H1301" s="19"/>
      <c r="I1301" s="18"/>
      <c r="J1301" s="18"/>
      <c r="K1301" s="18"/>
      <c r="L1301" s="18"/>
      <c r="M1301" s="18"/>
      <c r="N1301" s="18"/>
      <c r="O1301" s="18"/>
      <c r="S1301" s="18"/>
      <c r="T1301" s="20"/>
    </row>
    <row r="1302" spans="7:20" x14ac:dyDescent="0.2">
      <c r="G1302" s="18"/>
      <c r="H1302" s="19"/>
      <c r="I1302" s="18"/>
      <c r="J1302" s="18"/>
      <c r="K1302" s="18"/>
      <c r="L1302" s="18"/>
      <c r="M1302" s="18"/>
      <c r="N1302" s="18"/>
      <c r="O1302" s="18"/>
      <c r="S1302" s="18"/>
      <c r="T1302" s="20"/>
    </row>
    <row r="1303" spans="7:20" x14ac:dyDescent="0.2">
      <c r="G1303" s="18"/>
      <c r="H1303" s="19"/>
      <c r="I1303" s="18"/>
      <c r="J1303" s="18"/>
      <c r="K1303" s="18"/>
      <c r="L1303" s="18"/>
      <c r="M1303" s="18"/>
      <c r="N1303" s="18"/>
      <c r="O1303" s="18"/>
      <c r="S1303" s="18"/>
      <c r="T1303" s="20"/>
    </row>
    <row r="1304" spans="7:20" x14ac:dyDescent="0.2">
      <c r="G1304" s="18"/>
      <c r="H1304" s="19"/>
      <c r="I1304" s="18"/>
      <c r="J1304" s="18"/>
      <c r="K1304" s="18"/>
      <c r="L1304" s="18"/>
      <c r="M1304" s="18"/>
      <c r="N1304" s="18"/>
      <c r="O1304" s="18"/>
      <c r="S1304" s="18"/>
      <c r="T1304" s="20"/>
    </row>
    <row r="1305" spans="7:20" x14ac:dyDescent="0.2">
      <c r="G1305" s="18"/>
      <c r="H1305" s="19"/>
      <c r="I1305" s="18"/>
      <c r="J1305" s="18"/>
      <c r="K1305" s="18"/>
      <c r="L1305" s="18"/>
      <c r="M1305" s="18"/>
      <c r="N1305" s="18"/>
      <c r="O1305" s="18"/>
      <c r="S1305" s="18"/>
      <c r="T1305" s="20"/>
    </row>
    <row r="1306" spans="7:20" x14ac:dyDescent="0.2">
      <c r="G1306" s="18"/>
      <c r="H1306" s="19"/>
      <c r="I1306" s="18"/>
      <c r="J1306" s="18"/>
      <c r="K1306" s="18"/>
      <c r="L1306" s="18"/>
      <c r="M1306" s="18"/>
      <c r="N1306" s="18"/>
      <c r="O1306" s="18"/>
      <c r="S1306" s="18"/>
      <c r="T1306" s="20"/>
    </row>
    <row r="1307" spans="7:20" x14ac:dyDescent="0.2">
      <c r="G1307" s="18"/>
      <c r="H1307" s="19"/>
      <c r="I1307" s="18"/>
      <c r="J1307" s="18"/>
      <c r="K1307" s="18"/>
      <c r="L1307" s="18"/>
      <c r="M1307" s="18"/>
      <c r="N1307" s="18"/>
      <c r="O1307" s="18"/>
      <c r="S1307" s="18"/>
      <c r="T1307" s="20"/>
    </row>
    <row r="1308" spans="7:20" x14ac:dyDescent="0.2">
      <c r="G1308" s="18"/>
      <c r="H1308" s="19"/>
      <c r="I1308" s="18"/>
      <c r="J1308" s="18"/>
      <c r="K1308" s="18"/>
      <c r="L1308" s="18"/>
      <c r="M1308" s="18"/>
      <c r="N1308" s="18"/>
      <c r="O1308" s="18"/>
      <c r="S1308" s="18"/>
      <c r="T1308" s="20"/>
    </row>
    <row r="1309" spans="7:20" x14ac:dyDescent="0.2">
      <c r="G1309" s="18"/>
      <c r="H1309" s="19"/>
      <c r="I1309" s="18"/>
      <c r="J1309" s="18"/>
      <c r="K1309" s="18"/>
      <c r="L1309" s="18"/>
      <c r="M1309" s="18"/>
      <c r="N1309" s="18"/>
      <c r="O1309" s="18"/>
      <c r="S1309" s="18"/>
      <c r="T1309" s="20"/>
    </row>
    <row r="1310" spans="7:20" x14ac:dyDescent="0.2">
      <c r="G1310" s="18"/>
      <c r="H1310" s="19"/>
      <c r="I1310" s="18"/>
      <c r="J1310" s="18"/>
      <c r="K1310" s="18"/>
      <c r="L1310" s="18"/>
      <c r="M1310" s="18"/>
      <c r="N1310" s="18"/>
      <c r="O1310" s="18"/>
      <c r="S1310" s="18"/>
      <c r="T1310" s="20"/>
    </row>
    <row r="1311" spans="7:20" x14ac:dyDescent="0.2">
      <c r="G1311" s="18"/>
      <c r="H1311" s="19"/>
      <c r="I1311" s="18"/>
      <c r="J1311" s="18"/>
      <c r="K1311" s="18"/>
      <c r="L1311" s="18"/>
      <c r="M1311" s="18"/>
      <c r="N1311" s="18"/>
      <c r="O1311" s="18"/>
      <c r="S1311" s="18"/>
      <c r="T1311" s="20"/>
    </row>
    <row r="1312" spans="7:20" x14ac:dyDescent="0.2">
      <c r="G1312" s="18"/>
      <c r="H1312" s="19"/>
      <c r="I1312" s="18"/>
      <c r="J1312" s="18"/>
      <c r="K1312" s="18"/>
      <c r="L1312" s="18"/>
      <c r="M1312" s="18"/>
      <c r="N1312" s="18"/>
      <c r="O1312" s="18"/>
      <c r="S1312" s="18"/>
      <c r="T1312" s="20"/>
    </row>
    <row r="1313" spans="7:20" x14ac:dyDescent="0.2">
      <c r="G1313" s="18"/>
      <c r="H1313" s="19"/>
      <c r="I1313" s="18"/>
      <c r="J1313" s="18"/>
      <c r="K1313" s="18"/>
      <c r="L1313" s="18"/>
      <c r="M1313" s="18"/>
      <c r="N1313" s="18"/>
      <c r="O1313" s="18"/>
      <c r="S1313" s="18"/>
      <c r="T1313" s="20"/>
    </row>
    <row r="1314" spans="7:20" x14ac:dyDescent="0.2">
      <c r="G1314" s="18"/>
      <c r="H1314" s="19"/>
      <c r="I1314" s="18"/>
      <c r="J1314" s="18"/>
      <c r="K1314" s="18"/>
      <c r="L1314" s="18"/>
      <c r="M1314" s="18"/>
      <c r="N1314" s="18"/>
      <c r="O1314" s="18"/>
      <c r="S1314" s="18"/>
      <c r="T1314" s="20"/>
    </row>
    <row r="1315" spans="7:20" x14ac:dyDescent="0.2">
      <c r="G1315" s="18"/>
      <c r="H1315" s="19"/>
      <c r="I1315" s="18"/>
      <c r="J1315" s="18"/>
      <c r="K1315" s="18"/>
      <c r="L1315" s="18"/>
      <c r="M1315" s="18"/>
      <c r="N1315" s="18"/>
      <c r="O1315" s="18"/>
      <c r="S1315" s="18"/>
      <c r="T1315" s="20"/>
    </row>
    <row r="1316" spans="7:20" x14ac:dyDescent="0.2">
      <c r="G1316" s="18"/>
      <c r="H1316" s="19"/>
      <c r="I1316" s="18"/>
      <c r="J1316" s="18"/>
      <c r="K1316" s="18"/>
      <c r="L1316" s="18"/>
      <c r="M1316" s="18"/>
      <c r="N1316" s="18"/>
      <c r="O1316" s="18"/>
      <c r="S1316" s="18"/>
      <c r="T1316" s="20"/>
    </row>
    <row r="1317" spans="7:20" x14ac:dyDescent="0.2">
      <c r="G1317" s="18"/>
      <c r="H1317" s="19"/>
      <c r="I1317" s="18"/>
      <c r="J1317" s="18"/>
      <c r="K1317" s="18"/>
      <c r="L1317" s="18"/>
      <c r="M1317" s="18"/>
      <c r="N1317" s="18"/>
      <c r="O1317" s="18"/>
      <c r="S1317" s="18"/>
      <c r="T1317" s="20"/>
    </row>
    <row r="1318" spans="7:20" x14ac:dyDescent="0.2">
      <c r="G1318" s="18"/>
      <c r="H1318" s="19"/>
      <c r="I1318" s="18"/>
      <c r="J1318" s="18"/>
      <c r="K1318" s="18"/>
      <c r="L1318" s="18"/>
      <c r="M1318" s="18"/>
      <c r="N1318" s="18"/>
      <c r="O1318" s="18"/>
      <c r="S1318" s="18"/>
      <c r="T1318" s="20"/>
    </row>
    <row r="1319" spans="7:20" x14ac:dyDescent="0.2">
      <c r="G1319" s="18"/>
      <c r="H1319" s="19"/>
      <c r="I1319" s="18"/>
      <c r="J1319" s="18"/>
      <c r="K1319" s="18"/>
      <c r="L1319" s="18"/>
      <c r="M1319" s="18"/>
      <c r="N1319" s="18"/>
      <c r="O1319" s="18"/>
      <c r="S1319" s="18"/>
      <c r="T1319" s="20"/>
    </row>
    <row r="1320" spans="7:20" x14ac:dyDescent="0.2">
      <c r="G1320" s="18"/>
      <c r="H1320" s="19"/>
      <c r="I1320" s="18"/>
      <c r="J1320" s="18"/>
      <c r="K1320" s="18"/>
      <c r="L1320" s="18"/>
      <c r="M1320" s="18"/>
      <c r="N1320" s="18"/>
      <c r="O1320" s="18"/>
      <c r="S1320" s="18"/>
      <c r="T1320" s="20"/>
    </row>
    <row r="1321" spans="7:20" x14ac:dyDescent="0.2">
      <c r="G1321" s="18"/>
      <c r="H1321" s="19"/>
      <c r="I1321" s="18"/>
      <c r="J1321" s="18"/>
      <c r="K1321" s="18"/>
      <c r="L1321" s="18"/>
      <c r="M1321" s="18"/>
      <c r="N1321" s="18"/>
      <c r="O1321" s="18"/>
      <c r="S1321" s="18"/>
      <c r="T1321" s="20"/>
    </row>
    <row r="1322" spans="7:20" x14ac:dyDescent="0.2">
      <c r="G1322" s="18"/>
      <c r="H1322" s="19"/>
      <c r="I1322" s="18"/>
      <c r="J1322" s="18"/>
      <c r="K1322" s="18"/>
      <c r="L1322" s="18"/>
      <c r="M1322" s="18"/>
      <c r="N1322" s="18"/>
      <c r="O1322" s="18"/>
      <c r="S1322" s="18"/>
      <c r="T1322" s="20"/>
    </row>
    <row r="1323" spans="7:20" x14ac:dyDescent="0.2">
      <c r="G1323" s="18"/>
      <c r="H1323" s="19"/>
      <c r="I1323" s="18"/>
      <c r="J1323" s="18"/>
      <c r="K1323" s="18"/>
      <c r="L1323" s="18"/>
      <c r="M1323" s="18"/>
      <c r="N1323" s="18"/>
      <c r="O1323" s="18"/>
      <c r="S1323" s="18"/>
      <c r="T1323" s="20"/>
    </row>
    <row r="1324" spans="7:20" x14ac:dyDescent="0.2">
      <c r="G1324" s="18"/>
      <c r="H1324" s="19"/>
      <c r="I1324" s="18"/>
      <c r="J1324" s="18"/>
      <c r="K1324" s="18"/>
      <c r="L1324" s="18"/>
      <c r="M1324" s="18"/>
      <c r="N1324" s="18"/>
      <c r="O1324" s="18"/>
      <c r="S1324" s="18"/>
      <c r="T1324" s="20"/>
    </row>
    <row r="1325" spans="7:20" x14ac:dyDescent="0.2">
      <c r="G1325" s="18"/>
      <c r="H1325" s="19"/>
      <c r="I1325" s="18"/>
      <c r="J1325" s="18"/>
      <c r="K1325" s="18"/>
      <c r="L1325" s="18"/>
      <c r="M1325" s="18"/>
      <c r="N1325" s="18"/>
      <c r="O1325" s="18"/>
      <c r="S1325" s="18"/>
      <c r="T1325" s="20"/>
    </row>
    <row r="1326" spans="7:20" x14ac:dyDescent="0.2">
      <c r="G1326" s="18"/>
      <c r="H1326" s="19"/>
      <c r="I1326" s="18"/>
      <c r="J1326" s="18"/>
      <c r="K1326" s="18"/>
      <c r="L1326" s="18"/>
      <c r="M1326" s="18"/>
      <c r="N1326" s="18"/>
      <c r="O1326" s="18"/>
      <c r="S1326" s="18"/>
      <c r="T1326" s="20"/>
    </row>
    <row r="1327" spans="7:20" x14ac:dyDescent="0.2">
      <c r="G1327" s="18"/>
      <c r="H1327" s="19"/>
      <c r="I1327" s="18"/>
      <c r="J1327" s="18"/>
      <c r="K1327" s="18"/>
      <c r="L1327" s="18"/>
      <c r="M1327" s="18"/>
      <c r="N1327" s="18"/>
      <c r="O1327" s="18"/>
      <c r="S1327" s="18"/>
      <c r="T1327" s="20"/>
    </row>
    <row r="1328" spans="7:20" x14ac:dyDescent="0.2">
      <c r="G1328" s="18"/>
      <c r="H1328" s="19"/>
      <c r="I1328" s="18"/>
      <c r="J1328" s="18"/>
      <c r="K1328" s="18"/>
      <c r="L1328" s="18"/>
      <c r="M1328" s="18"/>
      <c r="N1328" s="18"/>
      <c r="O1328" s="18"/>
      <c r="S1328" s="18"/>
      <c r="T1328" s="20"/>
    </row>
    <row r="1329" spans="7:20" x14ac:dyDescent="0.2">
      <c r="G1329" s="18"/>
      <c r="H1329" s="19"/>
      <c r="I1329" s="18"/>
      <c r="J1329" s="18"/>
      <c r="K1329" s="18"/>
      <c r="L1329" s="18"/>
      <c r="M1329" s="18"/>
      <c r="N1329" s="18"/>
      <c r="O1329" s="18"/>
      <c r="S1329" s="18"/>
      <c r="T1329" s="20"/>
    </row>
    <row r="1330" spans="7:20" x14ac:dyDescent="0.2">
      <c r="G1330" s="18"/>
      <c r="H1330" s="19"/>
      <c r="I1330" s="18"/>
      <c r="J1330" s="18"/>
      <c r="K1330" s="18"/>
      <c r="L1330" s="18"/>
      <c r="M1330" s="18"/>
      <c r="N1330" s="18"/>
      <c r="O1330" s="18"/>
      <c r="S1330" s="18"/>
      <c r="T1330" s="20"/>
    </row>
    <row r="1331" spans="7:20" x14ac:dyDescent="0.2">
      <c r="G1331" s="18"/>
      <c r="H1331" s="19"/>
      <c r="I1331" s="18"/>
      <c r="J1331" s="18"/>
      <c r="K1331" s="18"/>
      <c r="L1331" s="18"/>
      <c r="M1331" s="18"/>
      <c r="N1331" s="18"/>
      <c r="O1331" s="18"/>
      <c r="S1331" s="18"/>
      <c r="T1331" s="20"/>
    </row>
    <row r="1332" spans="7:20" x14ac:dyDescent="0.2">
      <c r="G1332" s="18"/>
      <c r="H1332" s="19"/>
      <c r="I1332" s="18"/>
      <c r="J1332" s="18"/>
      <c r="K1332" s="18"/>
      <c r="L1332" s="18"/>
      <c r="M1332" s="18"/>
      <c r="N1332" s="18"/>
      <c r="O1332" s="18"/>
      <c r="S1332" s="18"/>
      <c r="T1332" s="20"/>
    </row>
    <row r="1333" spans="7:20" x14ac:dyDescent="0.2">
      <c r="G1333" s="18"/>
      <c r="H1333" s="19"/>
      <c r="I1333" s="18"/>
      <c r="J1333" s="18"/>
      <c r="K1333" s="18"/>
      <c r="L1333" s="18"/>
      <c r="M1333" s="18"/>
      <c r="N1333" s="18"/>
      <c r="O1333" s="18"/>
      <c r="S1333" s="18"/>
      <c r="T1333" s="20"/>
    </row>
    <row r="1334" spans="7:20" x14ac:dyDescent="0.2">
      <c r="G1334" s="18"/>
      <c r="H1334" s="19"/>
      <c r="I1334" s="18"/>
      <c r="J1334" s="18"/>
      <c r="K1334" s="18"/>
      <c r="L1334" s="18"/>
      <c r="M1334" s="18"/>
      <c r="N1334" s="18"/>
      <c r="O1334" s="18"/>
      <c r="S1334" s="18"/>
      <c r="T1334" s="20"/>
    </row>
    <row r="1335" spans="7:20" x14ac:dyDescent="0.2">
      <c r="G1335" s="18"/>
      <c r="H1335" s="19"/>
      <c r="I1335" s="18"/>
      <c r="J1335" s="18"/>
      <c r="K1335" s="18"/>
      <c r="L1335" s="18"/>
      <c r="M1335" s="18"/>
      <c r="N1335" s="18"/>
      <c r="O1335" s="18"/>
      <c r="S1335" s="18"/>
      <c r="T1335" s="20"/>
    </row>
    <row r="1336" spans="7:20" x14ac:dyDescent="0.2">
      <c r="G1336" s="18"/>
      <c r="H1336" s="19"/>
      <c r="I1336" s="18"/>
      <c r="J1336" s="18"/>
      <c r="K1336" s="18"/>
      <c r="L1336" s="18"/>
      <c r="M1336" s="18"/>
      <c r="N1336" s="18"/>
      <c r="O1336" s="18"/>
      <c r="S1336" s="18"/>
      <c r="T1336" s="20"/>
    </row>
    <row r="1337" spans="7:20" x14ac:dyDescent="0.2">
      <c r="G1337" s="18"/>
      <c r="H1337" s="19"/>
      <c r="I1337" s="18"/>
      <c r="J1337" s="18"/>
      <c r="K1337" s="18"/>
      <c r="L1337" s="18"/>
      <c r="M1337" s="18"/>
      <c r="N1337" s="18"/>
      <c r="O1337" s="18"/>
      <c r="S1337" s="18"/>
      <c r="T1337" s="20"/>
    </row>
    <row r="1338" spans="7:20" x14ac:dyDescent="0.2">
      <c r="G1338" s="18"/>
      <c r="H1338" s="19"/>
      <c r="I1338" s="18"/>
      <c r="J1338" s="18"/>
      <c r="K1338" s="18"/>
      <c r="L1338" s="18"/>
      <c r="M1338" s="18"/>
      <c r="N1338" s="18"/>
      <c r="O1338" s="18"/>
      <c r="S1338" s="18"/>
      <c r="T1338" s="20"/>
    </row>
    <row r="1339" spans="7:20" x14ac:dyDescent="0.2">
      <c r="G1339" s="18"/>
      <c r="H1339" s="19"/>
      <c r="I1339" s="18"/>
      <c r="J1339" s="18"/>
      <c r="K1339" s="18"/>
      <c r="L1339" s="18"/>
      <c r="M1339" s="18"/>
      <c r="N1339" s="18"/>
      <c r="O1339" s="18"/>
      <c r="S1339" s="18"/>
      <c r="T1339" s="20"/>
    </row>
    <row r="1340" spans="7:20" x14ac:dyDescent="0.2">
      <c r="G1340" s="18"/>
      <c r="H1340" s="19"/>
      <c r="I1340" s="18"/>
      <c r="J1340" s="18"/>
      <c r="K1340" s="18"/>
      <c r="L1340" s="18"/>
      <c r="M1340" s="18"/>
      <c r="N1340" s="18"/>
      <c r="O1340" s="18"/>
      <c r="S1340" s="18"/>
      <c r="T1340" s="20"/>
    </row>
    <row r="1341" spans="7:20" x14ac:dyDescent="0.2">
      <c r="G1341" s="18"/>
      <c r="H1341" s="19"/>
      <c r="I1341" s="18"/>
      <c r="J1341" s="18"/>
      <c r="K1341" s="18"/>
      <c r="L1341" s="18"/>
      <c r="M1341" s="18"/>
      <c r="N1341" s="18"/>
      <c r="O1341" s="18"/>
      <c r="S1341" s="18"/>
      <c r="T1341" s="20"/>
    </row>
    <row r="1342" spans="7:20" x14ac:dyDescent="0.2">
      <c r="G1342" s="18"/>
      <c r="H1342" s="19"/>
      <c r="I1342" s="18"/>
      <c r="J1342" s="18"/>
      <c r="K1342" s="18"/>
      <c r="L1342" s="18"/>
      <c r="M1342" s="18"/>
      <c r="N1342" s="18"/>
      <c r="O1342" s="18"/>
      <c r="S1342" s="18"/>
      <c r="T1342" s="20"/>
    </row>
    <row r="1343" spans="7:20" x14ac:dyDescent="0.2">
      <c r="G1343" s="18"/>
      <c r="H1343" s="19"/>
      <c r="I1343" s="18"/>
      <c r="J1343" s="18"/>
      <c r="K1343" s="18"/>
      <c r="L1343" s="18"/>
      <c r="M1343" s="18"/>
      <c r="N1343" s="18"/>
      <c r="O1343" s="18"/>
      <c r="S1343" s="18"/>
      <c r="T1343" s="20"/>
    </row>
    <row r="1344" spans="7:20" x14ac:dyDescent="0.2">
      <c r="G1344" s="18"/>
      <c r="H1344" s="19"/>
      <c r="I1344" s="18"/>
      <c r="J1344" s="18"/>
      <c r="K1344" s="18"/>
      <c r="L1344" s="18"/>
      <c r="M1344" s="18"/>
      <c r="N1344" s="18"/>
      <c r="O1344" s="18"/>
      <c r="S1344" s="18"/>
      <c r="T1344" s="20"/>
    </row>
    <row r="1345" spans="7:20" x14ac:dyDescent="0.2">
      <c r="G1345" s="18"/>
      <c r="H1345" s="19"/>
      <c r="I1345" s="18"/>
      <c r="J1345" s="18"/>
      <c r="K1345" s="18"/>
      <c r="L1345" s="18"/>
      <c r="M1345" s="18"/>
      <c r="N1345" s="18"/>
      <c r="O1345" s="18"/>
      <c r="S1345" s="18"/>
      <c r="T1345" s="20"/>
    </row>
    <row r="1346" spans="7:20" x14ac:dyDescent="0.2">
      <c r="G1346" s="18"/>
      <c r="H1346" s="19"/>
      <c r="I1346" s="18"/>
      <c r="J1346" s="18"/>
      <c r="K1346" s="18"/>
      <c r="L1346" s="18"/>
      <c r="M1346" s="18"/>
      <c r="N1346" s="18"/>
      <c r="O1346" s="18"/>
      <c r="S1346" s="18"/>
      <c r="T1346" s="20"/>
    </row>
    <row r="1347" spans="7:20" x14ac:dyDescent="0.2">
      <c r="G1347" s="18"/>
      <c r="H1347" s="19"/>
      <c r="I1347" s="18"/>
      <c r="J1347" s="18"/>
      <c r="K1347" s="18"/>
      <c r="L1347" s="18"/>
      <c r="M1347" s="18"/>
      <c r="N1347" s="18"/>
      <c r="O1347" s="18"/>
      <c r="S1347" s="18"/>
      <c r="T1347" s="20"/>
    </row>
    <row r="1348" spans="7:20" x14ac:dyDescent="0.2">
      <c r="G1348" s="18"/>
      <c r="H1348" s="19"/>
      <c r="I1348" s="18"/>
      <c r="J1348" s="18"/>
      <c r="K1348" s="18"/>
      <c r="L1348" s="18"/>
      <c r="M1348" s="18"/>
      <c r="N1348" s="18"/>
      <c r="O1348" s="18"/>
      <c r="S1348" s="18"/>
      <c r="T1348" s="20"/>
    </row>
    <row r="1349" spans="7:20" x14ac:dyDescent="0.2">
      <c r="G1349" s="18"/>
      <c r="H1349" s="19"/>
      <c r="I1349" s="18"/>
      <c r="J1349" s="18"/>
      <c r="K1349" s="18"/>
      <c r="L1349" s="18"/>
      <c r="M1349" s="18"/>
      <c r="N1349" s="18"/>
      <c r="O1349" s="18"/>
      <c r="S1349" s="18"/>
      <c r="T1349" s="20"/>
    </row>
    <row r="1350" spans="7:20" x14ac:dyDescent="0.2">
      <c r="G1350" s="18"/>
      <c r="H1350" s="19"/>
      <c r="I1350" s="18"/>
      <c r="J1350" s="18"/>
      <c r="K1350" s="18"/>
      <c r="L1350" s="18"/>
      <c r="M1350" s="18"/>
      <c r="N1350" s="18"/>
      <c r="O1350" s="18"/>
      <c r="S1350" s="18"/>
      <c r="T1350" s="20"/>
    </row>
    <row r="1351" spans="7:20" x14ac:dyDescent="0.2">
      <c r="G1351" s="18"/>
      <c r="H1351" s="19"/>
      <c r="I1351" s="18"/>
      <c r="J1351" s="18"/>
      <c r="K1351" s="18"/>
      <c r="L1351" s="18"/>
      <c r="M1351" s="18"/>
      <c r="N1351" s="18"/>
      <c r="O1351" s="18"/>
      <c r="S1351" s="18"/>
      <c r="T1351" s="20"/>
    </row>
    <row r="1352" spans="7:20" x14ac:dyDescent="0.2">
      <c r="G1352" s="18"/>
      <c r="H1352" s="19"/>
      <c r="I1352" s="18"/>
      <c r="J1352" s="18"/>
      <c r="K1352" s="18"/>
      <c r="L1352" s="18"/>
      <c r="M1352" s="18"/>
      <c r="N1352" s="18"/>
      <c r="O1352" s="18"/>
      <c r="S1352" s="18"/>
      <c r="T1352" s="20"/>
    </row>
    <row r="1353" spans="7:20" x14ac:dyDescent="0.2">
      <c r="G1353" s="18"/>
      <c r="H1353" s="19"/>
      <c r="I1353" s="18"/>
      <c r="J1353" s="18"/>
      <c r="K1353" s="18"/>
      <c r="L1353" s="18"/>
      <c r="M1353" s="18"/>
      <c r="N1353" s="18"/>
      <c r="O1353" s="18"/>
      <c r="S1353" s="18"/>
      <c r="T1353" s="20"/>
    </row>
    <row r="1354" spans="7:20" x14ac:dyDescent="0.2">
      <c r="G1354" s="18"/>
      <c r="H1354" s="19"/>
      <c r="I1354" s="18"/>
      <c r="J1354" s="18"/>
      <c r="K1354" s="18"/>
      <c r="L1354" s="18"/>
      <c r="M1354" s="18"/>
      <c r="N1354" s="18"/>
      <c r="O1354" s="18"/>
      <c r="S1354" s="18"/>
      <c r="T1354" s="20"/>
    </row>
    <row r="1355" spans="7:20" x14ac:dyDescent="0.2">
      <c r="G1355" s="18"/>
      <c r="H1355" s="19"/>
      <c r="I1355" s="18"/>
      <c r="J1355" s="18"/>
      <c r="K1355" s="18"/>
      <c r="L1355" s="18"/>
      <c r="M1355" s="18"/>
      <c r="N1355" s="18"/>
      <c r="O1355" s="18"/>
      <c r="S1355" s="18"/>
      <c r="T1355" s="20"/>
    </row>
    <row r="1356" spans="7:20" x14ac:dyDescent="0.2">
      <c r="G1356" s="18"/>
      <c r="H1356" s="19"/>
      <c r="I1356" s="18"/>
      <c r="J1356" s="18"/>
      <c r="K1356" s="18"/>
      <c r="L1356" s="18"/>
      <c r="M1356" s="18"/>
      <c r="N1356" s="18"/>
      <c r="O1356" s="18"/>
      <c r="S1356" s="18"/>
      <c r="T1356" s="20"/>
    </row>
    <row r="1357" spans="7:20" x14ac:dyDescent="0.2">
      <c r="G1357" s="18"/>
      <c r="H1357" s="19"/>
      <c r="I1357" s="18"/>
      <c r="J1357" s="18"/>
      <c r="K1357" s="18"/>
      <c r="L1357" s="18"/>
      <c r="M1357" s="18"/>
      <c r="N1357" s="18"/>
      <c r="O1357" s="18"/>
      <c r="S1357" s="18"/>
      <c r="T1357" s="20"/>
    </row>
    <row r="1358" spans="7:20" x14ac:dyDescent="0.2">
      <c r="G1358" s="18"/>
      <c r="H1358" s="19"/>
      <c r="I1358" s="18"/>
      <c r="J1358" s="18"/>
      <c r="K1358" s="18"/>
      <c r="L1358" s="18"/>
      <c r="M1358" s="18"/>
      <c r="N1358" s="18"/>
      <c r="O1358" s="18"/>
      <c r="S1358" s="18"/>
      <c r="T1358" s="20"/>
    </row>
    <row r="1359" spans="7:20" x14ac:dyDescent="0.2">
      <c r="G1359" s="18"/>
      <c r="H1359" s="19"/>
      <c r="I1359" s="18"/>
      <c r="J1359" s="18"/>
      <c r="K1359" s="18"/>
      <c r="L1359" s="18"/>
      <c r="M1359" s="18"/>
      <c r="N1359" s="18"/>
      <c r="O1359" s="18"/>
      <c r="S1359" s="18"/>
      <c r="T1359" s="20"/>
    </row>
    <row r="1360" spans="7:20" x14ac:dyDescent="0.2">
      <c r="G1360" s="18"/>
      <c r="H1360" s="19"/>
      <c r="I1360" s="18"/>
      <c r="J1360" s="18"/>
      <c r="K1360" s="18"/>
      <c r="L1360" s="18"/>
      <c r="M1360" s="18"/>
      <c r="N1360" s="18"/>
      <c r="O1360" s="18"/>
      <c r="S1360" s="18"/>
      <c r="T1360" s="20"/>
    </row>
    <row r="1361" spans="7:20" x14ac:dyDescent="0.2">
      <c r="G1361" s="18"/>
      <c r="H1361" s="19"/>
      <c r="I1361" s="18"/>
      <c r="J1361" s="18"/>
      <c r="K1361" s="18"/>
      <c r="L1361" s="18"/>
      <c r="M1361" s="18"/>
      <c r="N1361" s="18"/>
      <c r="O1361" s="18"/>
      <c r="S1361" s="18"/>
      <c r="T1361" s="20"/>
    </row>
    <row r="1362" spans="7:20" x14ac:dyDescent="0.2">
      <c r="G1362" s="18"/>
      <c r="H1362" s="19"/>
      <c r="I1362" s="18"/>
      <c r="J1362" s="18"/>
      <c r="K1362" s="18"/>
      <c r="L1362" s="18"/>
      <c r="M1362" s="18"/>
      <c r="N1362" s="18"/>
      <c r="O1362" s="18"/>
      <c r="S1362" s="18"/>
      <c r="T1362" s="20"/>
    </row>
    <row r="1363" spans="7:20" x14ac:dyDescent="0.2">
      <c r="G1363" s="18"/>
      <c r="H1363" s="19"/>
      <c r="I1363" s="18"/>
      <c r="J1363" s="18"/>
      <c r="K1363" s="18"/>
      <c r="L1363" s="18"/>
      <c r="M1363" s="18"/>
      <c r="N1363" s="18"/>
      <c r="O1363" s="18"/>
      <c r="S1363" s="18"/>
      <c r="T1363" s="20"/>
    </row>
    <row r="1364" spans="7:20" x14ac:dyDescent="0.2">
      <c r="G1364" s="18"/>
      <c r="H1364" s="19"/>
      <c r="I1364" s="18"/>
      <c r="J1364" s="18"/>
      <c r="K1364" s="18"/>
      <c r="L1364" s="18"/>
      <c r="M1364" s="18"/>
      <c r="N1364" s="18"/>
      <c r="O1364" s="18"/>
      <c r="S1364" s="18"/>
      <c r="T1364" s="20"/>
    </row>
    <row r="1365" spans="7:20" x14ac:dyDescent="0.2">
      <c r="G1365" s="18"/>
      <c r="H1365" s="19"/>
      <c r="I1365" s="18"/>
      <c r="J1365" s="18"/>
      <c r="K1365" s="18"/>
      <c r="L1365" s="18"/>
      <c r="M1365" s="18"/>
      <c r="N1365" s="18"/>
      <c r="O1365" s="18"/>
      <c r="S1365" s="18"/>
      <c r="T1365" s="20"/>
    </row>
    <row r="1366" spans="7:20" x14ac:dyDescent="0.2">
      <c r="G1366" s="18"/>
      <c r="H1366" s="19"/>
      <c r="I1366" s="18"/>
      <c r="J1366" s="18"/>
      <c r="K1366" s="18"/>
      <c r="L1366" s="18"/>
      <c r="M1366" s="18"/>
      <c r="N1366" s="18"/>
      <c r="O1366" s="18"/>
      <c r="S1366" s="18"/>
      <c r="T1366" s="20"/>
    </row>
    <row r="1367" spans="7:20" x14ac:dyDescent="0.2">
      <c r="G1367" s="18"/>
      <c r="H1367" s="19"/>
      <c r="I1367" s="18"/>
      <c r="J1367" s="18"/>
      <c r="K1367" s="18"/>
      <c r="L1367" s="18"/>
      <c r="M1367" s="18"/>
      <c r="N1367" s="18"/>
      <c r="O1367" s="18"/>
      <c r="S1367" s="18"/>
      <c r="T1367" s="20"/>
    </row>
    <row r="1368" spans="7:20" x14ac:dyDescent="0.2">
      <c r="G1368" s="18"/>
      <c r="H1368" s="19"/>
      <c r="I1368" s="18"/>
      <c r="J1368" s="18"/>
      <c r="K1368" s="18"/>
      <c r="L1368" s="18"/>
      <c r="M1368" s="18"/>
      <c r="N1368" s="18"/>
      <c r="O1368" s="18"/>
      <c r="S1368" s="18"/>
      <c r="T1368" s="20"/>
    </row>
    <row r="1369" spans="7:20" x14ac:dyDescent="0.2">
      <c r="G1369" s="18"/>
      <c r="H1369" s="19"/>
      <c r="I1369" s="18"/>
      <c r="J1369" s="18"/>
      <c r="K1369" s="18"/>
      <c r="L1369" s="18"/>
      <c r="M1369" s="18"/>
      <c r="N1369" s="18"/>
      <c r="O1369" s="18"/>
      <c r="S1369" s="18"/>
      <c r="T1369" s="20"/>
    </row>
    <row r="1370" spans="7:20" x14ac:dyDescent="0.2">
      <c r="G1370" s="18"/>
      <c r="H1370" s="19"/>
      <c r="I1370" s="18"/>
      <c r="J1370" s="18"/>
      <c r="K1370" s="18"/>
      <c r="L1370" s="18"/>
      <c r="M1370" s="18"/>
      <c r="N1370" s="18"/>
      <c r="O1370" s="18"/>
      <c r="S1370" s="18"/>
      <c r="T1370" s="20"/>
    </row>
    <row r="1371" spans="7:20" x14ac:dyDescent="0.2">
      <c r="G1371" s="18"/>
      <c r="H1371" s="19"/>
      <c r="I1371" s="18"/>
      <c r="J1371" s="18"/>
      <c r="K1371" s="18"/>
      <c r="L1371" s="18"/>
      <c r="M1371" s="18"/>
      <c r="N1371" s="18"/>
      <c r="O1371" s="18"/>
      <c r="S1371" s="18"/>
      <c r="T1371" s="20"/>
    </row>
    <row r="1372" spans="7:20" x14ac:dyDescent="0.2">
      <c r="G1372" s="18"/>
      <c r="H1372" s="19"/>
      <c r="I1372" s="18"/>
      <c r="J1372" s="18"/>
      <c r="K1372" s="18"/>
      <c r="L1372" s="18"/>
      <c r="M1372" s="18"/>
      <c r="N1372" s="18"/>
      <c r="O1372" s="18"/>
      <c r="S1372" s="18"/>
      <c r="T1372" s="20"/>
    </row>
    <row r="1373" spans="7:20" x14ac:dyDescent="0.2">
      <c r="G1373" s="18"/>
      <c r="H1373" s="19"/>
      <c r="I1373" s="18"/>
      <c r="J1373" s="18"/>
      <c r="K1373" s="18"/>
      <c r="L1373" s="18"/>
      <c r="M1373" s="18"/>
      <c r="N1373" s="18"/>
      <c r="O1373" s="18"/>
      <c r="S1373" s="18"/>
      <c r="T1373" s="20"/>
    </row>
    <row r="1374" spans="7:20" x14ac:dyDescent="0.2">
      <c r="G1374" s="18"/>
      <c r="H1374" s="19"/>
      <c r="I1374" s="18"/>
      <c r="J1374" s="18"/>
      <c r="K1374" s="18"/>
      <c r="L1374" s="18"/>
      <c r="M1374" s="18"/>
      <c r="N1374" s="18"/>
      <c r="O1374" s="18"/>
      <c r="S1374" s="18"/>
      <c r="T1374" s="20"/>
    </row>
    <row r="1375" spans="7:20" x14ac:dyDescent="0.2">
      <c r="G1375" s="18"/>
      <c r="H1375" s="19"/>
      <c r="I1375" s="18"/>
      <c r="J1375" s="18"/>
      <c r="K1375" s="18"/>
      <c r="L1375" s="18"/>
      <c r="M1375" s="18"/>
      <c r="N1375" s="18"/>
      <c r="O1375" s="18"/>
      <c r="S1375" s="18"/>
      <c r="T1375" s="20"/>
    </row>
    <row r="1376" spans="7:20" x14ac:dyDescent="0.2">
      <c r="G1376" s="18"/>
      <c r="H1376" s="19"/>
      <c r="I1376" s="18"/>
      <c r="J1376" s="18"/>
      <c r="K1376" s="18"/>
      <c r="L1376" s="18"/>
      <c r="M1376" s="18"/>
      <c r="N1376" s="18"/>
      <c r="O1376" s="18"/>
      <c r="S1376" s="18"/>
      <c r="T1376" s="20"/>
    </row>
    <row r="1377" spans="7:20" x14ac:dyDescent="0.2">
      <c r="G1377" s="18"/>
      <c r="H1377" s="19"/>
      <c r="I1377" s="18"/>
      <c r="J1377" s="18"/>
      <c r="K1377" s="18"/>
      <c r="L1377" s="18"/>
      <c r="M1377" s="18"/>
      <c r="N1377" s="18"/>
      <c r="O1377" s="18"/>
      <c r="S1377" s="18"/>
      <c r="T1377" s="20"/>
    </row>
    <row r="1378" spans="7:20" x14ac:dyDescent="0.2">
      <c r="G1378" s="18"/>
      <c r="H1378" s="19"/>
      <c r="I1378" s="18"/>
      <c r="J1378" s="18"/>
      <c r="K1378" s="18"/>
      <c r="L1378" s="18"/>
      <c r="M1378" s="18"/>
      <c r="N1378" s="18"/>
      <c r="O1378" s="18"/>
      <c r="S1378" s="18"/>
      <c r="T1378" s="20"/>
    </row>
    <row r="1379" spans="7:20" x14ac:dyDescent="0.2">
      <c r="G1379" s="18"/>
      <c r="H1379" s="19"/>
      <c r="I1379" s="18"/>
      <c r="J1379" s="18"/>
      <c r="K1379" s="18"/>
      <c r="L1379" s="18"/>
      <c r="M1379" s="18"/>
      <c r="N1379" s="18"/>
      <c r="O1379" s="18"/>
      <c r="S1379" s="18"/>
      <c r="T1379" s="20"/>
    </row>
    <row r="1380" spans="7:20" x14ac:dyDescent="0.2">
      <c r="G1380" s="18"/>
      <c r="H1380" s="19"/>
      <c r="I1380" s="18"/>
      <c r="J1380" s="18"/>
      <c r="K1380" s="18"/>
      <c r="L1380" s="18"/>
      <c r="M1380" s="18"/>
      <c r="N1380" s="18"/>
      <c r="O1380" s="18"/>
      <c r="S1380" s="18"/>
      <c r="T1380" s="20"/>
    </row>
    <row r="1381" spans="7:20" x14ac:dyDescent="0.2">
      <c r="G1381" s="18"/>
      <c r="H1381" s="19"/>
      <c r="I1381" s="18"/>
      <c r="J1381" s="18"/>
      <c r="K1381" s="18"/>
      <c r="L1381" s="18"/>
      <c r="M1381" s="18"/>
      <c r="N1381" s="18"/>
      <c r="O1381" s="18"/>
      <c r="S1381" s="18"/>
      <c r="T1381" s="20"/>
    </row>
    <row r="1382" spans="7:20" x14ac:dyDescent="0.2">
      <c r="G1382" s="18"/>
      <c r="H1382" s="19"/>
      <c r="I1382" s="18"/>
      <c r="J1382" s="18"/>
      <c r="K1382" s="18"/>
      <c r="L1382" s="18"/>
      <c r="M1382" s="18"/>
      <c r="N1382" s="18"/>
      <c r="O1382" s="18"/>
      <c r="S1382" s="18"/>
      <c r="T1382" s="20"/>
    </row>
    <row r="1383" spans="7:20" x14ac:dyDescent="0.2">
      <c r="G1383" s="18"/>
      <c r="H1383" s="19"/>
      <c r="I1383" s="18"/>
      <c r="J1383" s="18"/>
      <c r="K1383" s="18"/>
      <c r="L1383" s="18"/>
      <c r="M1383" s="18"/>
      <c r="N1383" s="18"/>
      <c r="O1383" s="18"/>
      <c r="S1383" s="18"/>
      <c r="T1383" s="20"/>
    </row>
    <row r="1384" spans="7:20" x14ac:dyDescent="0.2">
      <c r="G1384" s="18"/>
      <c r="H1384" s="19"/>
      <c r="I1384" s="18"/>
      <c r="J1384" s="18"/>
      <c r="K1384" s="18"/>
      <c r="L1384" s="18"/>
      <c r="M1384" s="18"/>
      <c r="N1384" s="18"/>
      <c r="O1384" s="18"/>
      <c r="S1384" s="18"/>
      <c r="T1384" s="20"/>
    </row>
    <row r="1385" spans="7:20" x14ac:dyDescent="0.2">
      <c r="G1385" s="18"/>
      <c r="H1385" s="19"/>
      <c r="I1385" s="18"/>
      <c r="J1385" s="18"/>
      <c r="K1385" s="18"/>
      <c r="L1385" s="18"/>
      <c r="M1385" s="18"/>
      <c r="N1385" s="18"/>
      <c r="O1385" s="18"/>
      <c r="S1385" s="18"/>
      <c r="T1385" s="20"/>
    </row>
    <row r="1386" spans="7:20" x14ac:dyDescent="0.2">
      <c r="G1386" s="18"/>
      <c r="H1386" s="19"/>
      <c r="I1386" s="18"/>
      <c r="J1386" s="18"/>
      <c r="K1386" s="18"/>
      <c r="L1386" s="18"/>
      <c r="M1386" s="18"/>
      <c r="N1386" s="18"/>
      <c r="O1386" s="18"/>
      <c r="S1386" s="18"/>
      <c r="T1386" s="20"/>
    </row>
    <row r="1387" spans="7:20" x14ac:dyDescent="0.2">
      <c r="G1387" s="18"/>
      <c r="H1387" s="19"/>
      <c r="I1387" s="18"/>
      <c r="J1387" s="18"/>
      <c r="K1387" s="18"/>
      <c r="L1387" s="18"/>
      <c r="M1387" s="18"/>
      <c r="N1387" s="18"/>
      <c r="O1387" s="18"/>
      <c r="S1387" s="18"/>
      <c r="T1387" s="20"/>
    </row>
    <row r="1388" spans="7:20" x14ac:dyDescent="0.2">
      <c r="G1388" s="18"/>
      <c r="H1388" s="19"/>
      <c r="I1388" s="18"/>
      <c r="J1388" s="18"/>
      <c r="K1388" s="18"/>
      <c r="L1388" s="18"/>
      <c r="M1388" s="18"/>
      <c r="N1388" s="18"/>
      <c r="O1388" s="18"/>
      <c r="S1388" s="18"/>
      <c r="T1388" s="20"/>
    </row>
    <row r="1389" spans="7:20" x14ac:dyDescent="0.2">
      <c r="G1389" s="18"/>
      <c r="H1389" s="19"/>
      <c r="I1389" s="18"/>
      <c r="J1389" s="18"/>
      <c r="K1389" s="18"/>
      <c r="L1389" s="18"/>
      <c r="M1389" s="18"/>
      <c r="N1389" s="18"/>
      <c r="O1389" s="18"/>
      <c r="S1389" s="18"/>
      <c r="T1389" s="20"/>
    </row>
    <row r="1390" spans="7:20" x14ac:dyDescent="0.2">
      <c r="G1390" s="18"/>
      <c r="H1390" s="19"/>
      <c r="I1390" s="18"/>
      <c r="J1390" s="18"/>
      <c r="K1390" s="18"/>
      <c r="L1390" s="18"/>
      <c r="M1390" s="18"/>
      <c r="N1390" s="18"/>
      <c r="O1390" s="18"/>
      <c r="S1390" s="18"/>
      <c r="T1390" s="20"/>
    </row>
    <row r="1391" spans="7:20" x14ac:dyDescent="0.2">
      <c r="G1391" s="18"/>
      <c r="H1391" s="19"/>
      <c r="I1391" s="18"/>
      <c r="J1391" s="18"/>
      <c r="K1391" s="18"/>
      <c r="L1391" s="18"/>
      <c r="M1391" s="18"/>
      <c r="N1391" s="18"/>
      <c r="O1391" s="18"/>
      <c r="S1391" s="18"/>
      <c r="T1391" s="20"/>
    </row>
    <row r="1392" spans="7:20" x14ac:dyDescent="0.2">
      <c r="G1392" s="18"/>
      <c r="H1392" s="19"/>
      <c r="I1392" s="18"/>
      <c r="J1392" s="18"/>
      <c r="K1392" s="18"/>
      <c r="L1392" s="18"/>
      <c r="M1392" s="18"/>
      <c r="N1392" s="18"/>
      <c r="O1392" s="18"/>
      <c r="S1392" s="18"/>
      <c r="T1392" s="20"/>
    </row>
    <row r="1393" spans="7:20" x14ac:dyDescent="0.2">
      <c r="G1393" s="18"/>
      <c r="H1393" s="19"/>
      <c r="I1393" s="18"/>
      <c r="J1393" s="18"/>
      <c r="K1393" s="18"/>
      <c r="L1393" s="18"/>
      <c r="M1393" s="18"/>
      <c r="N1393" s="18"/>
      <c r="O1393" s="18"/>
      <c r="S1393" s="18"/>
      <c r="T1393" s="20"/>
    </row>
    <row r="1394" spans="7:20" x14ac:dyDescent="0.2">
      <c r="G1394" s="18"/>
      <c r="H1394" s="19"/>
      <c r="I1394" s="18"/>
      <c r="J1394" s="18"/>
      <c r="K1394" s="18"/>
      <c r="L1394" s="18"/>
      <c r="M1394" s="18"/>
      <c r="N1394" s="18"/>
      <c r="O1394" s="18"/>
      <c r="S1394" s="18"/>
      <c r="T1394" s="20"/>
    </row>
    <row r="1395" spans="7:20" x14ac:dyDescent="0.2">
      <c r="G1395" s="18"/>
      <c r="H1395" s="19"/>
      <c r="I1395" s="18"/>
      <c r="J1395" s="18"/>
      <c r="K1395" s="18"/>
      <c r="L1395" s="18"/>
      <c r="M1395" s="18"/>
      <c r="N1395" s="18"/>
      <c r="O1395" s="18"/>
      <c r="S1395" s="18"/>
      <c r="T1395" s="20"/>
    </row>
    <row r="1396" spans="7:20" x14ac:dyDescent="0.2">
      <c r="G1396" s="18"/>
      <c r="H1396" s="19"/>
      <c r="I1396" s="18"/>
      <c r="J1396" s="18"/>
      <c r="K1396" s="18"/>
      <c r="L1396" s="18"/>
      <c r="M1396" s="18"/>
      <c r="N1396" s="18"/>
      <c r="O1396" s="18"/>
      <c r="S1396" s="18"/>
      <c r="T1396" s="20"/>
    </row>
    <row r="1397" spans="7:20" x14ac:dyDescent="0.2">
      <c r="G1397" s="18"/>
      <c r="H1397" s="19"/>
      <c r="I1397" s="18"/>
      <c r="J1397" s="18"/>
      <c r="K1397" s="18"/>
      <c r="L1397" s="18"/>
      <c r="M1397" s="18"/>
      <c r="N1397" s="18"/>
      <c r="O1397" s="18"/>
      <c r="S1397" s="18"/>
      <c r="T1397" s="20"/>
    </row>
    <row r="1398" spans="7:20" x14ac:dyDescent="0.2">
      <c r="G1398" s="18"/>
      <c r="H1398" s="19"/>
      <c r="I1398" s="18"/>
      <c r="J1398" s="18"/>
      <c r="K1398" s="18"/>
      <c r="L1398" s="18"/>
      <c r="M1398" s="18"/>
      <c r="N1398" s="18"/>
      <c r="O1398" s="18"/>
      <c r="S1398" s="18"/>
      <c r="T1398" s="20"/>
    </row>
    <row r="1399" spans="7:20" x14ac:dyDescent="0.2">
      <c r="G1399" s="18"/>
      <c r="H1399" s="19"/>
      <c r="I1399" s="18"/>
      <c r="J1399" s="18"/>
      <c r="K1399" s="18"/>
      <c r="L1399" s="18"/>
      <c r="M1399" s="18"/>
      <c r="N1399" s="18"/>
      <c r="O1399" s="18"/>
      <c r="S1399" s="18"/>
      <c r="T1399" s="20"/>
    </row>
    <row r="1400" spans="7:20" x14ac:dyDescent="0.2">
      <c r="G1400" s="18"/>
      <c r="H1400" s="19"/>
      <c r="I1400" s="18"/>
      <c r="J1400" s="18"/>
      <c r="K1400" s="18"/>
      <c r="L1400" s="18"/>
      <c r="M1400" s="18"/>
      <c r="N1400" s="18"/>
      <c r="O1400" s="18"/>
      <c r="S1400" s="18"/>
      <c r="T1400" s="20"/>
    </row>
    <row r="1401" spans="7:20" x14ac:dyDescent="0.2">
      <c r="G1401" s="18"/>
      <c r="H1401" s="19"/>
      <c r="I1401" s="18"/>
      <c r="J1401" s="18"/>
      <c r="K1401" s="18"/>
      <c r="L1401" s="18"/>
      <c r="M1401" s="18"/>
      <c r="N1401" s="18"/>
      <c r="O1401" s="18"/>
      <c r="S1401" s="18"/>
      <c r="T1401" s="20"/>
    </row>
    <row r="1402" spans="7:20" x14ac:dyDescent="0.2">
      <c r="G1402" s="18"/>
      <c r="H1402" s="19"/>
      <c r="I1402" s="18"/>
      <c r="J1402" s="18"/>
      <c r="K1402" s="18"/>
      <c r="L1402" s="18"/>
      <c r="M1402" s="18"/>
      <c r="N1402" s="18"/>
      <c r="O1402" s="18"/>
      <c r="S1402" s="18"/>
      <c r="T1402" s="20"/>
    </row>
    <row r="1403" spans="7:20" x14ac:dyDescent="0.2">
      <c r="G1403" s="18"/>
      <c r="H1403" s="19"/>
      <c r="I1403" s="18"/>
      <c r="J1403" s="18"/>
      <c r="K1403" s="18"/>
      <c r="L1403" s="18"/>
      <c r="M1403" s="18"/>
      <c r="N1403" s="18"/>
      <c r="O1403" s="18"/>
      <c r="S1403" s="18"/>
      <c r="T1403" s="20"/>
    </row>
    <row r="1404" spans="7:20" x14ac:dyDescent="0.2">
      <c r="G1404" s="18"/>
      <c r="H1404" s="19"/>
      <c r="I1404" s="18"/>
      <c r="J1404" s="18"/>
      <c r="K1404" s="18"/>
      <c r="L1404" s="18"/>
      <c r="M1404" s="18"/>
      <c r="N1404" s="18"/>
      <c r="O1404" s="18"/>
      <c r="S1404" s="18"/>
      <c r="T1404" s="20"/>
    </row>
    <row r="1405" spans="7:20" x14ac:dyDescent="0.2">
      <c r="G1405" s="18"/>
      <c r="H1405" s="19"/>
      <c r="I1405" s="18"/>
      <c r="J1405" s="18"/>
      <c r="K1405" s="18"/>
      <c r="L1405" s="18"/>
      <c r="M1405" s="18"/>
      <c r="N1405" s="18"/>
      <c r="O1405" s="18"/>
      <c r="S1405" s="18"/>
      <c r="T1405" s="20"/>
    </row>
    <row r="1406" spans="7:20" x14ac:dyDescent="0.2">
      <c r="G1406" s="18"/>
      <c r="H1406" s="19"/>
      <c r="I1406" s="18"/>
      <c r="J1406" s="18"/>
      <c r="K1406" s="18"/>
      <c r="L1406" s="18"/>
      <c r="M1406" s="18"/>
      <c r="N1406" s="18"/>
      <c r="O1406" s="18"/>
      <c r="S1406" s="18"/>
      <c r="T1406" s="20"/>
    </row>
    <row r="1407" spans="7:20" x14ac:dyDescent="0.2">
      <c r="G1407" s="18"/>
      <c r="H1407" s="19"/>
      <c r="I1407" s="18"/>
      <c r="J1407" s="18"/>
      <c r="K1407" s="18"/>
      <c r="L1407" s="18"/>
      <c r="M1407" s="18"/>
      <c r="N1407" s="18"/>
      <c r="O1407" s="18"/>
      <c r="S1407" s="18"/>
      <c r="T1407" s="20"/>
    </row>
    <row r="1408" spans="7:20" x14ac:dyDescent="0.2">
      <c r="G1408" s="18"/>
      <c r="H1408" s="19"/>
      <c r="I1408" s="18"/>
      <c r="J1408" s="18"/>
      <c r="K1408" s="18"/>
      <c r="L1408" s="18"/>
      <c r="M1408" s="18"/>
      <c r="N1408" s="18"/>
      <c r="O1408" s="18"/>
      <c r="S1408" s="18"/>
      <c r="T1408" s="20"/>
    </row>
    <row r="1409" spans="7:20" x14ac:dyDescent="0.2">
      <c r="G1409" s="18"/>
      <c r="H1409" s="19"/>
      <c r="I1409" s="18"/>
      <c r="J1409" s="18"/>
      <c r="K1409" s="18"/>
      <c r="L1409" s="18"/>
      <c r="M1409" s="18"/>
      <c r="N1409" s="18"/>
      <c r="O1409" s="18"/>
      <c r="S1409" s="18"/>
      <c r="T1409" s="20"/>
    </row>
    <row r="1410" spans="7:20" x14ac:dyDescent="0.2">
      <c r="G1410" s="18"/>
      <c r="H1410" s="19"/>
      <c r="I1410" s="18"/>
      <c r="J1410" s="18"/>
      <c r="K1410" s="18"/>
      <c r="L1410" s="18"/>
      <c r="M1410" s="18"/>
      <c r="N1410" s="18"/>
      <c r="O1410" s="18"/>
      <c r="S1410" s="18"/>
      <c r="T1410" s="20"/>
    </row>
    <row r="1411" spans="7:20" x14ac:dyDescent="0.2">
      <c r="G1411" s="18"/>
      <c r="H1411" s="19"/>
      <c r="I1411" s="18"/>
      <c r="J1411" s="18"/>
      <c r="K1411" s="18"/>
      <c r="L1411" s="18"/>
      <c r="M1411" s="18"/>
      <c r="N1411" s="18"/>
      <c r="O1411" s="18"/>
      <c r="S1411" s="18"/>
      <c r="T1411" s="20"/>
    </row>
    <row r="1412" spans="7:20" x14ac:dyDescent="0.2">
      <c r="G1412" s="18"/>
      <c r="H1412" s="19"/>
      <c r="I1412" s="18"/>
      <c r="J1412" s="18"/>
      <c r="K1412" s="18"/>
      <c r="L1412" s="18"/>
      <c r="M1412" s="18"/>
      <c r="N1412" s="18"/>
      <c r="O1412" s="18"/>
      <c r="S1412" s="18"/>
      <c r="T1412" s="20"/>
    </row>
    <row r="1413" spans="7:20" x14ac:dyDescent="0.2">
      <c r="G1413" s="18"/>
      <c r="H1413" s="19"/>
      <c r="I1413" s="18"/>
      <c r="J1413" s="18"/>
      <c r="K1413" s="18"/>
      <c r="L1413" s="18"/>
      <c r="M1413" s="18"/>
      <c r="N1413" s="18"/>
      <c r="O1413" s="18"/>
      <c r="S1413" s="18"/>
      <c r="T1413" s="20"/>
    </row>
    <row r="1414" spans="7:20" x14ac:dyDescent="0.2">
      <c r="G1414" s="18"/>
      <c r="H1414" s="19"/>
      <c r="I1414" s="18"/>
      <c r="J1414" s="18"/>
      <c r="K1414" s="18"/>
      <c r="L1414" s="18"/>
      <c r="M1414" s="18"/>
      <c r="N1414" s="18"/>
      <c r="O1414" s="18"/>
      <c r="S1414" s="18"/>
      <c r="T1414" s="20"/>
    </row>
    <row r="1415" spans="7:20" x14ac:dyDescent="0.2">
      <c r="G1415" s="18"/>
      <c r="H1415" s="19"/>
      <c r="I1415" s="18"/>
      <c r="J1415" s="18"/>
      <c r="K1415" s="18"/>
      <c r="L1415" s="18"/>
      <c r="M1415" s="18"/>
      <c r="N1415" s="18"/>
      <c r="O1415" s="18"/>
      <c r="S1415" s="18"/>
      <c r="T1415" s="20"/>
    </row>
    <row r="1416" spans="7:20" x14ac:dyDescent="0.2">
      <c r="G1416" s="18"/>
      <c r="H1416" s="19"/>
      <c r="I1416" s="18"/>
      <c r="J1416" s="18"/>
      <c r="K1416" s="18"/>
      <c r="L1416" s="18"/>
      <c r="M1416" s="18"/>
      <c r="N1416" s="18"/>
      <c r="O1416" s="18"/>
      <c r="S1416" s="18"/>
      <c r="T1416" s="20"/>
    </row>
    <row r="1417" spans="7:20" x14ac:dyDescent="0.2">
      <c r="G1417" s="18"/>
      <c r="H1417" s="19"/>
      <c r="I1417" s="18"/>
      <c r="J1417" s="18"/>
      <c r="K1417" s="18"/>
      <c r="L1417" s="18"/>
      <c r="M1417" s="18"/>
      <c r="N1417" s="18"/>
      <c r="O1417" s="18"/>
      <c r="S1417" s="18"/>
      <c r="T1417" s="20"/>
    </row>
    <row r="1418" spans="7:20" x14ac:dyDescent="0.2">
      <c r="G1418" s="18"/>
      <c r="H1418" s="19"/>
      <c r="I1418" s="18"/>
      <c r="J1418" s="18"/>
      <c r="K1418" s="18"/>
      <c r="L1418" s="18"/>
      <c r="M1418" s="18"/>
      <c r="N1418" s="18"/>
      <c r="O1418" s="18"/>
      <c r="S1418" s="18"/>
      <c r="T1418" s="20"/>
    </row>
    <row r="1419" spans="7:20" x14ac:dyDescent="0.2">
      <c r="G1419" s="18"/>
      <c r="H1419" s="19"/>
      <c r="I1419" s="18"/>
      <c r="J1419" s="18"/>
      <c r="K1419" s="18"/>
      <c r="L1419" s="18"/>
      <c r="M1419" s="18"/>
      <c r="N1419" s="18"/>
      <c r="O1419" s="18"/>
      <c r="S1419" s="18"/>
      <c r="T1419" s="20"/>
    </row>
    <row r="1420" spans="7:20" x14ac:dyDescent="0.2">
      <c r="G1420" s="18"/>
      <c r="H1420" s="19"/>
      <c r="I1420" s="18"/>
      <c r="J1420" s="18"/>
      <c r="K1420" s="18"/>
      <c r="L1420" s="18"/>
      <c r="M1420" s="18"/>
      <c r="N1420" s="18"/>
      <c r="O1420" s="18"/>
      <c r="S1420" s="18"/>
      <c r="T1420" s="20"/>
    </row>
    <row r="1421" spans="7:20" x14ac:dyDescent="0.2">
      <c r="G1421" s="18"/>
      <c r="H1421" s="19"/>
      <c r="I1421" s="18"/>
      <c r="J1421" s="18"/>
      <c r="K1421" s="18"/>
      <c r="L1421" s="18"/>
      <c r="M1421" s="18"/>
      <c r="N1421" s="18"/>
      <c r="O1421" s="18"/>
      <c r="S1421" s="18"/>
      <c r="T1421" s="20"/>
    </row>
    <row r="1422" spans="7:20" x14ac:dyDescent="0.2">
      <c r="G1422" s="18"/>
      <c r="H1422" s="19"/>
      <c r="I1422" s="18"/>
      <c r="J1422" s="18"/>
      <c r="K1422" s="18"/>
      <c r="L1422" s="18"/>
      <c r="M1422" s="18"/>
      <c r="N1422" s="18"/>
      <c r="O1422" s="18"/>
      <c r="S1422" s="18"/>
      <c r="T1422" s="20"/>
    </row>
    <row r="1423" spans="7:20" x14ac:dyDescent="0.2">
      <c r="G1423" s="18"/>
      <c r="H1423" s="19"/>
      <c r="I1423" s="18"/>
      <c r="J1423" s="18"/>
      <c r="K1423" s="18"/>
      <c r="L1423" s="18"/>
      <c r="M1423" s="18"/>
      <c r="N1423" s="18"/>
      <c r="O1423" s="18"/>
      <c r="S1423" s="18"/>
      <c r="T1423" s="20"/>
    </row>
    <row r="1424" spans="7:20" x14ac:dyDescent="0.2">
      <c r="G1424" s="18"/>
      <c r="H1424" s="19"/>
      <c r="I1424" s="18"/>
      <c r="J1424" s="18"/>
      <c r="K1424" s="18"/>
      <c r="L1424" s="18"/>
      <c r="M1424" s="18"/>
      <c r="N1424" s="18"/>
      <c r="O1424" s="18"/>
      <c r="S1424" s="18"/>
      <c r="T1424" s="20"/>
    </row>
    <row r="1425" spans="7:20" x14ac:dyDescent="0.2">
      <c r="G1425" s="18"/>
      <c r="H1425" s="19"/>
      <c r="I1425" s="18"/>
      <c r="J1425" s="18"/>
      <c r="K1425" s="18"/>
      <c r="L1425" s="18"/>
      <c r="M1425" s="18"/>
      <c r="N1425" s="18"/>
      <c r="O1425" s="18"/>
      <c r="S1425" s="18"/>
      <c r="T1425" s="20"/>
    </row>
    <row r="1426" spans="7:20" x14ac:dyDescent="0.2">
      <c r="G1426" s="18"/>
      <c r="H1426" s="19"/>
      <c r="I1426" s="18"/>
      <c r="J1426" s="18"/>
      <c r="K1426" s="18"/>
      <c r="L1426" s="18"/>
      <c r="M1426" s="18"/>
      <c r="N1426" s="18"/>
      <c r="O1426" s="18"/>
      <c r="S1426" s="18"/>
      <c r="T1426" s="20"/>
    </row>
    <row r="1427" spans="7:20" x14ac:dyDescent="0.2">
      <c r="G1427" s="18"/>
      <c r="H1427" s="19"/>
      <c r="I1427" s="18"/>
      <c r="J1427" s="18"/>
      <c r="K1427" s="18"/>
      <c r="L1427" s="18"/>
      <c r="M1427" s="18"/>
      <c r="N1427" s="18"/>
      <c r="O1427" s="18"/>
      <c r="S1427" s="18"/>
      <c r="T1427" s="20"/>
    </row>
    <row r="1428" spans="7:20" x14ac:dyDescent="0.2">
      <c r="G1428" s="18"/>
      <c r="H1428" s="19"/>
      <c r="I1428" s="18"/>
      <c r="J1428" s="18"/>
      <c r="K1428" s="18"/>
      <c r="L1428" s="18"/>
      <c r="M1428" s="18"/>
      <c r="N1428" s="18"/>
      <c r="O1428" s="18"/>
      <c r="S1428" s="18"/>
      <c r="T1428" s="20"/>
    </row>
    <row r="1429" spans="7:20" x14ac:dyDescent="0.2">
      <c r="G1429" s="18"/>
      <c r="H1429" s="19"/>
      <c r="I1429" s="18"/>
      <c r="J1429" s="18"/>
      <c r="K1429" s="18"/>
      <c r="L1429" s="18"/>
      <c r="M1429" s="18"/>
      <c r="N1429" s="18"/>
      <c r="O1429" s="18"/>
      <c r="S1429" s="18"/>
      <c r="T1429" s="20"/>
    </row>
    <row r="1430" spans="7:20" x14ac:dyDescent="0.2">
      <c r="G1430" s="18"/>
      <c r="H1430" s="19"/>
      <c r="I1430" s="18"/>
      <c r="J1430" s="18"/>
      <c r="K1430" s="18"/>
      <c r="L1430" s="18"/>
      <c r="M1430" s="18"/>
      <c r="N1430" s="18"/>
      <c r="O1430" s="18"/>
      <c r="S1430" s="18"/>
      <c r="T1430" s="20"/>
    </row>
    <row r="1431" spans="7:20" x14ac:dyDescent="0.2">
      <c r="G1431" s="18"/>
      <c r="H1431" s="19"/>
      <c r="I1431" s="18"/>
      <c r="J1431" s="18"/>
      <c r="K1431" s="18"/>
      <c r="L1431" s="18"/>
      <c r="M1431" s="18"/>
      <c r="N1431" s="18"/>
      <c r="O1431" s="18"/>
      <c r="S1431" s="18"/>
      <c r="T1431" s="20"/>
    </row>
    <row r="1432" spans="7:20" x14ac:dyDescent="0.2">
      <c r="G1432" s="18"/>
      <c r="H1432" s="19"/>
      <c r="I1432" s="18"/>
      <c r="J1432" s="18"/>
      <c r="K1432" s="18"/>
      <c r="L1432" s="18"/>
      <c r="M1432" s="18"/>
      <c r="N1432" s="18"/>
      <c r="O1432" s="18"/>
      <c r="S1432" s="18"/>
      <c r="T1432" s="20"/>
    </row>
    <row r="1433" spans="7:20" x14ac:dyDescent="0.2">
      <c r="G1433" s="18"/>
      <c r="H1433" s="19"/>
      <c r="I1433" s="18"/>
      <c r="J1433" s="18"/>
      <c r="K1433" s="18"/>
      <c r="L1433" s="18"/>
      <c r="M1433" s="18"/>
      <c r="N1433" s="18"/>
      <c r="O1433" s="18"/>
      <c r="S1433" s="18"/>
      <c r="T1433" s="20"/>
    </row>
    <row r="1434" spans="7:20" x14ac:dyDescent="0.2">
      <c r="G1434" s="18"/>
      <c r="H1434" s="19"/>
      <c r="I1434" s="18"/>
      <c r="J1434" s="18"/>
      <c r="K1434" s="18"/>
      <c r="L1434" s="18"/>
      <c r="M1434" s="18"/>
      <c r="N1434" s="18"/>
      <c r="O1434" s="18"/>
      <c r="S1434" s="18"/>
      <c r="T1434" s="20"/>
    </row>
    <row r="1435" spans="7:20" x14ac:dyDescent="0.2">
      <c r="G1435" s="18"/>
      <c r="H1435" s="19"/>
      <c r="I1435" s="18"/>
      <c r="J1435" s="18"/>
      <c r="K1435" s="18"/>
      <c r="L1435" s="18"/>
      <c r="M1435" s="18"/>
      <c r="N1435" s="18"/>
      <c r="O1435" s="18"/>
      <c r="S1435" s="18"/>
      <c r="T1435" s="20"/>
    </row>
    <row r="1436" spans="7:20" x14ac:dyDescent="0.2">
      <c r="G1436" s="18"/>
      <c r="H1436" s="19"/>
      <c r="I1436" s="18"/>
      <c r="J1436" s="18"/>
      <c r="K1436" s="18"/>
      <c r="L1436" s="18"/>
      <c r="M1436" s="18"/>
      <c r="N1436" s="18"/>
      <c r="O1436" s="18"/>
      <c r="S1436" s="18"/>
      <c r="T1436" s="20"/>
    </row>
    <row r="1437" spans="7:20" x14ac:dyDescent="0.2">
      <c r="G1437" s="18"/>
      <c r="H1437" s="19"/>
      <c r="I1437" s="18"/>
      <c r="J1437" s="18"/>
      <c r="K1437" s="18"/>
      <c r="L1437" s="18"/>
      <c r="M1437" s="18"/>
      <c r="N1437" s="18"/>
      <c r="O1437" s="18"/>
      <c r="S1437" s="18"/>
      <c r="T1437" s="20"/>
    </row>
    <row r="1438" spans="7:20" x14ac:dyDescent="0.2">
      <c r="G1438" s="18"/>
      <c r="H1438" s="19"/>
      <c r="I1438" s="18"/>
      <c r="J1438" s="18"/>
      <c r="K1438" s="18"/>
      <c r="L1438" s="18"/>
      <c r="M1438" s="18"/>
      <c r="N1438" s="18"/>
      <c r="O1438" s="18"/>
      <c r="S1438" s="18"/>
      <c r="T1438" s="20"/>
    </row>
    <row r="1439" spans="7:20" x14ac:dyDescent="0.2">
      <c r="G1439" s="18"/>
      <c r="H1439" s="19"/>
      <c r="I1439" s="18"/>
      <c r="J1439" s="18"/>
      <c r="K1439" s="18"/>
      <c r="L1439" s="18"/>
      <c r="M1439" s="18"/>
      <c r="N1439" s="18"/>
      <c r="O1439" s="18"/>
      <c r="S1439" s="18"/>
      <c r="T1439" s="20"/>
    </row>
    <row r="1440" spans="7:20" x14ac:dyDescent="0.2">
      <c r="G1440" s="18"/>
      <c r="H1440" s="19"/>
      <c r="I1440" s="18"/>
      <c r="J1440" s="18"/>
      <c r="K1440" s="18"/>
      <c r="L1440" s="18"/>
      <c r="M1440" s="18"/>
      <c r="N1440" s="18"/>
      <c r="O1440" s="18"/>
      <c r="S1440" s="18"/>
      <c r="T1440" s="20"/>
    </row>
    <row r="1441" spans="7:20" x14ac:dyDescent="0.2">
      <c r="G1441" s="18"/>
      <c r="H1441" s="19"/>
      <c r="I1441" s="18"/>
      <c r="J1441" s="18"/>
      <c r="K1441" s="18"/>
      <c r="L1441" s="18"/>
      <c r="M1441" s="18"/>
      <c r="N1441" s="18"/>
      <c r="O1441" s="18"/>
      <c r="S1441" s="18"/>
      <c r="T1441" s="20"/>
    </row>
    <row r="1442" spans="7:20" x14ac:dyDescent="0.2">
      <c r="G1442" s="18"/>
      <c r="H1442" s="19"/>
      <c r="I1442" s="18"/>
      <c r="J1442" s="18"/>
      <c r="K1442" s="18"/>
      <c r="L1442" s="18"/>
      <c r="M1442" s="18"/>
      <c r="N1442" s="18"/>
      <c r="O1442" s="18"/>
      <c r="S1442" s="18"/>
      <c r="T1442" s="20"/>
    </row>
    <row r="1443" spans="7:20" x14ac:dyDescent="0.2">
      <c r="G1443" s="18"/>
      <c r="H1443" s="19"/>
      <c r="I1443" s="18"/>
      <c r="J1443" s="18"/>
      <c r="K1443" s="18"/>
      <c r="L1443" s="18"/>
      <c r="M1443" s="18"/>
      <c r="N1443" s="18"/>
      <c r="O1443" s="18"/>
      <c r="S1443" s="18"/>
      <c r="T1443" s="20"/>
    </row>
    <row r="1444" spans="7:20" x14ac:dyDescent="0.2">
      <c r="G1444" s="18"/>
      <c r="H1444" s="19"/>
      <c r="I1444" s="18"/>
      <c r="J1444" s="18"/>
      <c r="K1444" s="18"/>
      <c r="L1444" s="18"/>
      <c r="M1444" s="18"/>
      <c r="N1444" s="18"/>
      <c r="O1444" s="18"/>
      <c r="S1444" s="18"/>
      <c r="T1444" s="20"/>
    </row>
    <row r="1445" spans="7:20" x14ac:dyDescent="0.2">
      <c r="G1445" s="18"/>
      <c r="H1445" s="19"/>
      <c r="I1445" s="18"/>
      <c r="J1445" s="18"/>
      <c r="K1445" s="18"/>
      <c r="L1445" s="18"/>
      <c r="M1445" s="18"/>
      <c r="N1445" s="18"/>
      <c r="O1445" s="18"/>
      <c r="S1445" s="18"/>
      <c r="T1445" s="20"/>
    </row>
    <row r="1446" spans="7:20" x14ac:dyDescent="0.2">
      <c r="G1446" s="18"/>
      <c r="H1446" s="19"/>
      <c r="I1446" s="18"/>
      <c r="J1446" s="18"/>
      <c r="K1446" s="18"/>
      <c r="L1446" s="18"/>
      <c r="M1446" s="18"/>
      <c r="N1446" s="18"/>
      <c r="O1446" s="18"/>
      <c r="S1446" s="18"/>
      <c r="T1446" s="20"/>
    </row>
    <row r="1447" spans="7:20" x14ac:dyDescent="0.2">
      <c r="G1447" s="18"/>
      <c r="H1447" s="19"/>
      <c r="I1447" s="18"/>
      <c r="J1447" s="18"/>
      <c r="K1447" s="18"/>
      <c r="L1447" s="18"/>
      <c r="M1447" s="18"/>
      <c r="N1447" s="18"/>
      <c r="O1447" s="18"/>
      <c r="S1447" s="18"/>
      <c r="T1447" s="20"/>
    </row>
    <row r="1448" spans="7:20" x14ac:dyDescent="0.2">
      <c r="G1448" s="18"/>
      <c r="H1448" s="19"/>
      <c r="I1448" s="18"/>
      <c r="J1448" s="18"/>
      <c r="K1448" s="18"/>
      <c r="L1448" s="18"/>
      <c r="M1448" s="18"/>
      <c r="N1448" s="18"/>
      <c r="O1448" s="18"/>
      <c r="S1448" s="18"/>
      <c r="T1448" s="20"/>
    </row>
    <row r="1449" spans="7:20" x14ac:dyDescent="0.2">
      <c r="G1449" s="18"/>
      <c r="H1449" s="19"/>
      <c r="I1449" s="18"/>
      <c r="J1449" s="18"/>
      <c r="K1449" s="18"/>
      <c r="L1449" s="18"/>
      <c r="M1449" s="18"/>
      <c r="N1449" s="18"/>
      <c r="O1449" s="18"/>
      <c r="S1449" s="18"/>
      <c r="T1449" s="20"/>
    </row>
    <row r="1450" spans="7:20" x14ac:dyDescent="0.2">
      <c r="G1450" s="18"/>
      <c r="H1450" s="19"/>
      <c r="I1450" s="18"/>
      <c r="J1450" s="18"/>
      <c r="K1450" s="18"/>
      <c r="L1450" s="18"/>
      <c r="M1450" s="18"/>
      <c r="N1450" s="18"/>
      <c r="O1450" s="18"/>
      <c r="S1450" s="18"/>
      <c r="T1450" s="20"/>
    </row>
    <row r="1451" spans="7:20" x14ac:dyDescent="0.2">
      <c r="G1451" s="18"/>
      <c r="H1451" s="19"/>
      <c r="I1451" s="18"/>
      <c r="J1451" s="18"/>
      <c r="K1451" s="18"/>
      <c r="L1451" s="18"/>
      <c r="M1451" s="18"/>
      <c r="N1451" s="18"/>
      <c r="O1451" s="18"/>
      <c r="S1451" s="18"/>
      <c r="T1451" s="20"/>
    </row>
    <row r="1452" spans="7:20" x14ac:dyDescent="0.2">
      <c r="G1452" s="18"/>
      <c r="H1452" s="19"/>
      <c r="I1452" s="18"/>
      <c r="J1452" s="18"/>
      <c r="K1452" s="18"/>
      <c r="L1452" s="18"/>
      <c r="M1452" s="18"/>
      <c r="N1452" s="18"/>
      <c r="O1452" s="18"/>
      <c r="S1452" s="18"/>
      <c r="T1452" s="20"/>
    </row>
    <row r="1453" spans="7:20" x14ac:dyDescent="0.2">
      <c r="G1453" s="18"/>
      <c r="H1453" s="19"/>
      <c r="I1453" s="18"/>
      <c r="J1453" s="18"/>
      <c r="K1453" s="18"/>
      <c r="L1453" s="18"/>
      <c r="M1453" s="18"/>
      <c r="N1453" s="18"/>
      <c r="O1453" s="18"/>
      <c r="S1453" s="18"/>
      <c r="T1453" s="20"/>
    </row>
    <row r="1454" spans="7:20" x14ac:dyDescent="0.2">
      <c r="G1454" s="18"/>
      <c r="H1454" s="19"/>
      <c r="I1454" s="18"/>
      <c r="J1454" s="18"/>
      <c r="K1454" s="18"/>
      <c r="L1454" s="18"/>
      <c r="M1454" s="18"/>
      <c r="N1454" s="18"/>
      <c r="O1454" s="18"/>
      <c r="S1454" s="18"/>
      <c r="T1454" s="20"/>
    </row>
    <row r="1455" spans="7:20" x14ac:dyDescent="0.2">
      <c r="G1455" s="18"/>
      <c r="H1455" s="19"/>
      <c r="I1455" s="18"/>
      <c r="J1455" s="18"/>
      <c r="K1455" s="18"/>
      <c r="L1455" s="18"/>
      <c r="M1455" s="18"/>
      <c r="N1455" s="18"/>
      <c r="O1455" s="18"/>
      <c r="S1455" s="18"/>
      <c r="T1455" s="20"/>
    </row>
    <row r="1456" spans="7:20" x14ac:dyDescent="0.2">
      <c r="G1456" s="18"/>
      <c r="H1456" s="19"/>
      <c r="I1456" s="18"/>
      <c r="J1456" s="18"/>
      <c r="K1456" s="18"/>
      <c r="L1456" s="18"/>
      <c r="M1456" s="18"/>
      <c r="N1456" s="18"/>
      <c r="O1456" s="18"/>
      <c r="S1456" s="18"/>
      <c r="T1456" s="20"/>
    </row>
    <row r="1457" spans="7:20" x14ac:dyDescent="0.2">
      <c r="G1457" s="18"/>
      <c r="H1457" s="19"/>
      <c r="I1457" s="18"/>
      <c r="J1457" s="18"/>
      <c r="K1457" s="18"/>
      <c r="L1457" s="18"/>
      <c r="M1457" s="18"/>
      <c r="N1457" s="18"/>
      <c r="O1457" s="18"/>
      <c r="S1457" s="18"/>
      <c r="T1457" s="20"/>
    </row>
    <row r="1458" spans="7:20" x14ac:dyDescent="0.2">
      <c r="G1458" s="18"/>
      <c r="H1458" s="19"/>
      <c r="I1458" s="18"/>
      <c r="J1458" s="18"/>
      <c r="K1458" s="18"/>
      <c r="L1458" s="18"/>
      <c r="M1458" s="18"/>
      <c r="N1458" s="18"/>
      <c r="O1458" s="18"/>
      <c r="S1458" s="18"/>
      <c r="T1458" s="20"/>
    </row>
    <row r="1459" spans="7:20" x14ac:dyDescent="0.2">
      <c r="G1459" s="18"/>
      <c r="H1459" s="19"/>
      <c r="I1459" s="18"/>
      <c r="J1459" s="18"/>
      <c r="K1459" s="18"/>
      <c r="L1459" s="18"/>
      <c r="M1459" s="18"/>
      <c r="N1459" s="18"/>
      <c r="O1459" s="18"/>
      <c r="S1459" s="18"/>
      <c r="T1459" s="20"/>
    </row>
    <row r="1460" spans="7:20" x14ac:dyDescent="0.2">
      <c r="G1460" s="18"/>
      <c r="H1460" s="19"/>
      <c r="I1460" s="18"/>
      <c r="J1460" s="18"/>
      <c r="K1460" s="18"/>
      <c r="L1460" s="18"/>
      <c r="M1460" s="18"/>
      <c r="N1460" s="18"/>
      <c r="O1460" s="18"/>
      <c r="S1460" s="18"/>
      <c r="T1460" s="20"/>
    </row>
    <row r="1461" spans="7:20" x14ac:dyDescent="0.2">
      <c r="G1461" s="18"/>
      <c r="H1461" s="19"/>
      <c r="I1461" s="18"/>
      <c r="J1461" s="18"/>
      <c r="K1461" s="18"/>
      <c r="L1461" s="18"/>
      <c r="M1461" s="18"/>
      <c r="N1461" s="18"/>
      <c r="O1461" s="18"/>
      <c r="S1461" s="18"/>
      <c r="T1461" s="20"/>
    </row>
    <row r="1462" spans="7:20" x14ac:dyDescent="0.2">
      <c r="G1462" s="18"/>
      <c r="H1462" s="19"/>
      <c r="I1462" s="18"/>
      <c r="J1462" s="18"/>
      <c r="K1462" s="18"/>
      <c r="L1462" s="18"/>
      <c r="M1462" s="18"/>
      <c r="N1462" s="18"/>
      <c r="O1462" s="18"/>
      <c r="S1462" s="18"/>
      <c r="T1462" s="20"/>
    </row>
    <row r="1463" spans="7:20" x14ac:dyDescent="0.2">
      <c r="G1463" s="18"/>
      <c r="H1463" s="19"/>
      <c r="I1463" s="18"/>
      <c r="J1463" s="18"/>
      <c r="K1463" s="18"/>
      <c r="L1463" s="18"/>
      <c r="M1463" s="18"/>
      <c r="N1463" s="18"/>
      <c r="O1463" s="18"/>
      <c r="S1463" s="18"/>
      <c r="T1463" s="20"/>
    </row>
    <row r="1464" spans="7:20" x14ac:dyDescent="0.2">
      <c r="G1464" s="18"/>
      <c r="H1464" s="19"/>
      <c r="I1464" s="18"/>
      <c r="J1464" s="18"/>
      <c r="K1464" s="18"/>
      <c r="L1464" s="18"/>
      <c r="M1464" s="18"/>
      <c r="N1464" s="18"/>
      <c r="O1464" s="18"/>
      <c r="S1464" s="18"/>
      <c r="T1464" s="20"/>
    </row>
    <row r="1465" spans="7:20" x14ac:dyDescent="0.2">
      <c r="G1465" s="18"/>
      <c r="H1465" s="19"/>
      <c r="I1465" s="18"/>
      <c r="J1465" s="18"/>
      <c r="K1465" s="18"/>
      <c r="L1465" s="18"/>
      <c r="M1465" s="18"/>
      <c r="N1465" s="18"/>
      <c r="O1465" s="18"/>
      <c r="S1465" s="18"/>
      <c r="T1465" s="20"/>
    </row>
    <row r="1466" spans="7:20" x14ac:dyDescent="0.2">
      <c r="G1466" s="18"/>
      <c r="H1466" s="19"/>
      <c r="I1466" s="18"/>
      <c r="J1466" s="18"/>
      <c r="K1466" s="18"/>
      <c r="L1466" s="18"/>
      <c r="M1466" s="18"/>
      <c r="N1466" s="18"/>
      <c r="O1466" s="18"/>
      <c r="S1466" s="18"/>
      <c r="T1466" s="20"/>
    </row>
    <row r="1467" spans="7:20" x14ac:dyDescent="0.2">
      <c r="G1467" s="18"/>
      <c r="H1467" s="19"/>
      <c r="I1467" s="18"/>
      <c r="J1467" s="18"/>
      <c r="K1467" s="18"/>
      <c r="L1467" s="18"/>
      <c r="M1467" s="18"/>
      <c r="N1467" s="18"/>
      <c r="O1467" s="18"/>
      <c r="S1467" s="18"/>
      <c r="T1467" s="20"/>
    </row>
    <row r="1468" spans="7:20" x14ac:dyDescent="0.2">
      <c r="G1468" s="18"/>
      <c r="H1468" s="19"/>
      <c r="I1468" s="18"/>
      <c r="J1468" s="18"/>
      <c r="K1468" s="18"/>
      <c r="L1468" s="18"/>
      <c r="M1468" s="18"/>
      <c r="N1468" s="18"/>
      <c r="O1468" s="18"/>
      <c r="S1468" s="18"/>
      <c r="T1468" s="20"/>
    </row>
    <row r="1469" spans="7:20" x14ac:dyDescent="0.2">
      <c r="G1469" s="18"/>
      <c r="H1469" s="19"/>
      <c r="I1469" s="18"/>
      <c r="J1469" s="18"/>
      <c r="K1469" s="18"/>
      <c r="L1469" s="18"/>
      <c r="M1469" s="18"/>
      <c r="N1469" s="18"/>
      <c r="O1469" s="18"/>
      <c r="S1469" s="18"/>
      <c r="T1469" s="20"/>
    </row>
    <row r="1470" spans="7:20" x14ac:dyDescent="0.2">
      <c r="G1470" s="18"/>
      <c r="H1470" s="19"/>
      <c r="I1470" s="18"/>
      <c r="J1470" s="18"/>
      <c r="K1470" s="18"/>
      <c r="L1470" s="18"/>
      <c r="M1470" s="18"/>
      <c r="N1470" s="18"/>
      <c r="O1470" s="18"/>
      <c r="S1470" s="18"/>
      <c r="T1470" s="20"/>
    </row>
    <row r="1471" spans="7:20" x14ac:dyDescent="0.2">
      <c r="G1471" s="18"/>
      <c r="H1471" s="19"/>
      <c r="I1471" s="18"/>
      <c r="J1471" s="18"/>
      <c r="K1471" s="18"/>
      <c r="L1471" s="18"/>
      <c r="M1471" s="18"/>
      <c r="N1471" s="18"/>
      <c r="O1471" s="18"/>
      <c r="S1471" s="18"/>
      <c r="T1471" s="20"/>
    </row>
    <row r="1472" spans="7:20" x14ac:dyDescent="0.2">
      <c r="G1472" s="18"/>
      <c r="H1472" s="19"/>
      <c r="I1472" s="18"/>
      <c r="J1472" s="18"/>
      <c r="K1472" s="18"/>
      <c r="L1472" s="18"/>
      <c r="M1472" s="18"/>
      <c r="N1472" s="18"/>
      <c r="O1472" s="18"/>
      <c r="S1472" s="18"/>
      <c r="T1472" s="20"/>
    </row>
    <row r="1473" spans="7:20" x14ac:dyDescent="0.2">
      <c r="G1473" s="18"/>
      <c r="H1473" s="19"/>
      <c r="I1473" s="18"/>
      <c r="J1473" s="18"/>
      <c r="K1473" s="18"/>
      <c r="L1473" s="18"/>
      <c r="M1473" s="18"/>
      <c r="N1473" s="18"/>
      <c r="O1473" s="18"/>
      <c r="S1473" s="18"/>
      <c r="T1473" s="20"/>
    </row>
    <row r="1474" spans="7:20" x14ac:dyDescent="0.2">
      <c r="G1474" s="18"/>
      <c r="H1474" s="19"/>
      <c r="I1474" s="18"/>
      <c r="J1474" s="18"/>
      <c r="K1474" s="18"/>
      <c r="L1474" s="18"/>
      <c r="M1474" s="18"/>
      <c r="N1474" s="18"/>
      <c r="O1474" s="18"/>
      <c r="S1474" s="18"/>
      <c r="T1474" s="20"/>
    </row>
    <row r="1475" spans="7:20" x14ac:dyDescent="0.2">
      <c r="G1475" s="18"/>
      <c r="H1475" s="19"/>
      <c r="I1475" s="18"/>
      <c r="J1475" s="18"/>
      <c r="K1475" s="18"/>
      <c r="L1475" s="18"/>
      <c r="M1475" s="18"/>
      <c r="N1475" s="18"/>
      <c r="O1475" s="18"/>
      <c r="S1475" s="18"/>
      <c r="T1475" s="20"/>
    </row>
    <row r="1476" spans="7:20" x14ac:dyDescent="0.2">
      <c r="G1476" s="18"/>
      <c r="H1476" s="19"/>
      <c r="I1476" s="18"/>
      <c r="J1476" s="18"/>
      <c r="K1476" s="18"/>
      <c r="L1476" s="18"/>
      <c r="M1476" s="18"/>
      <c r="N1476" s="18"/>
      <c r="O1476" s="18"/>
      <c r="S1476" s="18"/>
      <c r="T1476" s="20"/>
    </row>
    <row r="1477" spans="7:20" x14ac:dyDescent="0.2">
      <c r="G1477" s="18"/>
      <c r="H1477" s="19"/>
      <c r="I1477" s="18"/>
      <c r="J1477" s="18"/>
      <c r="K1477" s="18"/>
      <c r="L1477" s="18"/>
      <c r="M1477" s="18"/>
      <c r="N1477" s="18"/>
      <c r="O1477" s="18"/>
      <c r="S1477" s="18"/>
      <c r="T1477" s="20"/>
    </row>
    <row r="1478" spans="7:20" x14ac:dyDescent="0.2">
      <c r="G1478" s="18"/>
      <c r="H1478" s="19"/>
      <c r="I1478" s="18"/>
      <c r="J1478" s="18"/>
      <c r="K1478" s="18"/>
      <c r="L1478" s="18"/>
      <c r="M1478" s="18"/>
      <c r="N1478" s="18"/>
      <c r="O1478" s="18"/>
      <c r="S1478" s="18"/>
      <c r="T1478" s="20"/>
    </row>
    <row r="1479" spans="7:20" x14ac:dyDescent="0.2">
      <c r="G1479" s="18"/>
      <c r="H1479" s="19"/>
      <c r="I1479" s="18"/>
      <c r="J1479" s="18"/>
      <c r="K1479" s="18"/>
      <c r="L1479" s="18"/>
      <c r="M1479" s="18"/>
      <c r="N1479" s="18"/>
      <c r="O1479" s="18"/>
      <c r="S1479" s="18"/>
      <c r="T1479" s="20"/>
    </row>
    <row r="1480" spans="7:20" x14ac:dyDescent="0.2">
      <c r="G1480" s="18"/>
      <c r="H1480" s="19"/>
      <c r="I1480" s="18"/>
      <c r="J1480" s="18"/>
      <c r="K1480" s="18"/>
      <c r="L1480" s="18"/>
      <c r="M1480" s="18"/>
      <c r="N1480" s="18"/>
      <c r="O1480" s="18"/>
      <c r="S1480" s="18"/>
      <c r="T1480" s="20"/>
    </row>
    <row r="1481" spans="7:20" x14ac:dyDescent="0.2">
      <c r="G1481" s="18"/>
      <c r="H1481" s="19"/>
      <c r="I1481" s="18"/>
      <c r="J1481" s="18"/>
      <c r="K1481" s="18"/>
      <c r="L1481" s="18"/>
      <c r="M1481" s="18"/>
      <c r="N1481" s="18"/>
      <c r="O1481" s="18"/>
      <c r="S1481" s="18"/>
      <c r="T1481" s="20"/>
    </row>
    <row r="1482" spans="7:20" x14ac:dyDescent="0.2">
      <c r="G1482" s="18"/>
      <c r="H1482" s="19"/>
      <c r="I1482" s="18"/>
      <c r="J1482" s="18"/>
      <c r="K1482" s="18"/>
      <c r="L1482" s="18"/>
      <c r="M1482" s="18"/>
      <c r="N1482" s="18"/>
      <c r="O1482" s="18"/>
      <c r="S1482" s="18"/>
      <c r="T1482" s="20"/>
    </row>
    <row r="1483" spans="7:20" x14ac:dyDescent="0.2">
      <c r="G1483" s="18"/>
      <c r="H1483" s="19"/>
      <c r="I1483" s="18"/>
      <c r="J1483" s="18"/>
      <c r="K1483" s="18"/>
      <c r="L1483" s="18"/>
      <c r="M1483" s="18"/>
      <c r="N1483" s="18"/>
      <c r="O1483" s="18"/>
      <c r="S1483" s="18"/>
      <c r="T1483" s="20"/>
    </row>
    <row r="1484" spans="7:20" x14ac:dyDescent="0.2">
      <c r="G1484" s="18"/>
      <c r="H1484" s="19"/>
      <c r="I1484" s="18"/>
      <c r="J1484" s="18"/>
      <c r="K1484" s="18"/>
      <c r="L1484" s="18"/>
      <c r="M1484" s="18"/>
      <c r="N1484" s="18"/>
      <c r="O1484" s="18"/>
      <c r="S1484" s="18"/>
      <c r="T1484" s="20"/>
    </row>
    <row r="1485" spans="7:20" x14ac:dyDescent="0.2">
      <c r="G1485" s="18"/>
      <c r="H1485" s="19"/>
      <c r="I1485" s="18"/>
      <c r="J1485" s="18"/>
      <c r="K1485" s="18"/>
      <c r="L1485" s="18"/>
      <c r="M1485" s="18"/>
      <c r="N1485" s="18"/>
      <c r="O1485" s="18"/>
      <c r="S1485" s="18"/>
      <c r="T1485" s="20"/>
    </row>
    <row r="1486" spans="7:20" x14ac:dyDescent="0.2">
      <c r="G1486" s="18"/>
      <c r="H1486" s="19"/>
      <c r="I1486" s="18"/>
      <c r="J1486" s="18"/>
      <c r="K1486" s="18"/>
      <c r="L1486" s="18"/>
      <c r="M1486" s="18"/>
      <c r="N1486" s="18"/>
      <c r="O1486" s="18"/>
      <c r="S1486" s="18"/>
      <c r="T1486" s="20"/>
    </row>
    <row r="1487" spans="7:20" x14ac:dyDescent="0.2">
      <c r="G1487" s="18"/>
      <c r="H1487" s="19"/>
      <c r="I1487" s="18"/>
      <c r="J1487" s="18"/>
      <c r="K1487" s="18"/>
      <c r="L1487" s="18"/>
      <c r="M1487" s="18"/>
      <c r="N1487" s="18"/>
      <c r="O1487" s="18"/>
      <c r="S1487" s="18"/>
      <c r="T1487" s="20"/>
    </row>
    <row r="1488" spans="7:20" x14ac:dyDescent="0.2">
      <c r="G1488" s="18"/>
      <c r="H1488" s="19"/>
      <c r="I1488" s="18"/>
      <c r="J1488" s="18"/>
      <c r="K1488" s="18"/>
      <c r="L1488" s="18"/>
      <c r="M1488" s="18"/>
      <c r="N1488" s="18"/>
      <c r="O1488" s="18"/>
      <c r="S1488" s="18"/>
      <c r="T1488" s="20"/>
    </row>
    <row r="1489" spans="7:20" x14ac:dyDescent="0.2">
      <c r="G1489" s="18"/>
      <c r="H1489" s="19"/>
      <c r="I1489" s="18"/>
      <c r="J1489" s="18"/>
      <c r="K1489" s="18"/>
      <c r="L1489" s="18"/>
      <c r="M1489" s="18"/>
      <c r="N1489" s="18"/>
      <c r="O1489" s="18"/>
      <c r="S1489" s="18"/>
      <c r="T1489" s="20"/>
    </row>
    <row r="1490" spans="7:20" x14ac:dyDescent="0.2">
      <c r="G1490" s="18"/>
      <c r="H1490" s="19"/>
      <c r="I1490" s="18"/>
      <c r="J1490" s="18"/>
      <c r="K1490" s="18"/>
      <c r="L1490" s="18"/>
      <c r="M1490" s="18"/>
      <c r="N1490" s="18"/>
      <c r="O1490" s="18"/>
      <c r="S1490" s="18"/>
      <c r="T1490" s="20"/>
    </row>
    <row r="1491" spans="7:20" x14ac:dyDescent="0.2">
      <c r="G1491" s="18"/>
      <c r="H1491" s="19"/>
      <c r="I1491" s="18"/>
      <c r="J1491" s="18"/>
      <c r="K1491" s="18"/>
      <c r="L1491" s="18"/>
      <c r="M1491" s="18"/>
      <c r="N1491" s="18"/>
      <c r="O1491" s="18"/>
      <c r="S1491" s="18"/>
      <c r="T1491" s="20"/>
    </row>
    <row r="1492" spans="7:20" x14ac:dyDescent="0.2">
      <c r="G1492" s="18"/>
      <c r="H1492" s="19"/>
      <c r="I1492" s="18"/>
      <c r="J1492" s="18"/>
      <c r="K1492" s="18"/>
      <c r="L1492" s="18"/>
      <c r="M1492" s="18"/>
      <c r="N1492" s="18"/>
      <c r="O1492" s="18"/>
      <c r="S1492" s="18"/>
      <c r="T1492" s="20"/>
    </row>
    <row r="1493" spans="7:20" x14ac:dyDescent="0.2">
      <c r="G1493" s="18"/>
      <c r="H1493" s="19"/>
      <c r="I1493" s="18"/>
      <c r="J1493" s="18"/>
      <c r="K1493" s="18"/>
      <c r="L1493" s="18"/>
      <c r="M1493" s="18"/>
      <c r="N1493" s="18"/>
      <c r="O1493" s="18"/>
      <c r="S1493" s="18"/>
      <c r="T1493" s="20"/>
    </row>
    <row r="1494" spans="7:20" x14ac:dyDescent="0.2">
      <c r="G1494" s="18"/>
      <c r="H1494" s="19"/>
      <c r="I1494" s="18"/>
      <c r="J1494" s="18"/>
      <c r="K1494" s="18"/>
      <c r="L1494" s="18"/>
      <c r="M1494" s="18"/>
      <c r="N1494" s="18"/>
      <c r="O1494" s="18"/>
      <c r="S1494" s="18"/>
      <c r="T1494" s="20"/>
    </row>
    <row r="1495" spans="7:20" x14ac:dyDescent="0.2">
      <c r="G1495" s="18"/>
      <c r="H1495" s="19"/>
      <c r="I1495" s="18"/>
      <c r="J1495" s="18"/>
      <c r="K1495" s="18"/>
      <c r="L1495" s="18"/>
      <c r="M1495" s="18"/>
      <c r="N1495" s="18"/>
      <c r="O1495" s="18"/>
      <c r="S1495" s="18"/>
      <c r="T1495" s="20"/>
    </row>
    <row r="1496" spans="7:20" x14ac:dyDescent="0.2">
      <c r="G1496" s="18"/>
      <c r="H1496" s="19"/>
      <c r="I1496" s="18"/>
      <c r="J1496" s="18"/>
      <c r="K1496" s="18"/>
      <c r="L1496" s="18"/>
      <c r="M1496" s="18"/>
      <c r="N1496" s="18"/>
      <c r="O1496" s="18"/>
      <c r="S1496" s="18"/>
      <c r="T1496" s="20"/>
    </row>
    <row r="1497" spans="7:20" x14ac:dyDescent="0.2">
      <c r="G1497" s="18"/>
      <c r="H1497" s="19"/>
      <c r="I1497" s="18"/>
      <c r="J1497" s="18"/>
      <c r="K1497" s="18"/>
      <c r="L1497" s="18"/>
      <c r="M1497" s="18"/>
      <c r="N1497" s="18"/>
      <c r="O1497" s="18"/>
      <c r="S1497" s="18"/>
      <c r="T1497" s="20"/>
    </row>
    <row r="1498" spans="7:20" x14ac:dyDescent="0.2">
      <c r="G1498" s="18"/>
      <c r="H1498" s="19"/>
      <c r="I1498" s="18"/>
      <c r="J1498" s="18"/>
      <c r="K1498" s="18"/>
      <c r="L1498" s="18"/>
      <c r="M1498" s="18"/>
      <c r="N1498" s="18"/>
      <c r="O1498" s="18"/>
      <c r="S1498" s="18"/>
      <c r="T1498" s="20"/>
    </row>
    <row r="1499" spans="7:20" x14ac:dyDescent="0.2">
      <c r="G1499" s="18"/>
      <c r="H1499" s="19"/>
      <c r="I1499" s="18"/>
      <c r="J1499" s="18"/>
      <c r="K1499" s="18"/>
      <c r="L1499" s="18"/>
      <c r="M1499" s="18"/>
      <c r="N1499" s="18"/>
      <c r="O1499" s="18"/>
      <c r="S1499" s="18"/>
      <c r="T1499" s="20"/>
    </row>
    <row r="1500" spans="7:20" x14ac:dyDescent="0.2">
      <c r="G1500" s="18"/>
      <c r="H1500" s="19"/>
      <c r="I1500" s="18"/>
      <c r="J1500" s="18"/>
      <c r="K1500" s="18"/>
      <c r="L1500" s="18"/>
      <c r="M1500" s="18"/>
      <c r="N1500" s="18"/>
      <c r="O1500" s="18"/>
      <c r="S1500" s="18"/>
      <c r="T1500" s="20"/>
    </row>
    <row r="1501" spans="7:20" x14ac:dyDescent="0.2">
      <c r="G1501" s="18"/>
      <c r="H1501" s="19"/>
      <c r="I1501" s="18"/>
      <c r="J1501" s="18"/>
      <c r="K1501" s="18"/>
      <c r="L1501" s="18"/>
      <c r="M1501" s="18"/>
      <c r="N1501" s="18"/>
      <c r="O1501" s="18"/>
      <c r="S1501" s="18"/>
      <c r="T1501" s="20"/>
    </row>
    <row r="1502" spans="7:20" x14ac:dyDescent="0.2">
      <c r="G1502" s="18"/>
      <c r="H1502" s="19"/>
      <c r="I1502" s="18"/>
      <c r="J1502" s="18"/>
      <c r="K1502" s="18"/>
      <c r="L1502" s="18"/>
      <c r="M1502" s="18"/>
      <c r="N1502" s="18"/>
      <c r="O1502" s="18"/>
      <c r="S1502" s="18"/>
      <c r="T1502" s="20"/>
    </row>
    <row r="1503" spans="7:20" x14ac:dyDescent="0.2">
      <c r="G1503" s="18"/>
      <c r="H1503" s="19"/>
      <c r="I1503" s="18"/>
      <c r="J1503" s="18"/>
      <c r="K1503" s="18"/>
      <c r="L1503" s="18"/>
      <c r="M1503" s="18"/>
      <c r="N1503" s="18"/>
      <c r="O1503" s="18"/>
      <c r="S1503" s="18"/>
      <c r="T1503" s="20"/>
    </row>
    <row r="1504" spans="7:20" x14ac:dyDescent="0.2">
      <c r="G1504" s="18"/>
      <c r="H1504" s="19"/>
      <c r="I1504" s="18"/>
      <c r="J1504" s="18"/>
      <c r="K1504" s="18"/>
      <c r="L1504" s="18"/>
      <c r="M1504" s="18"/>
      <c r="N1504" s="18"/>
      <c r="O1504" s="18"/>
      <c r="S1504" s="18"/>
      <c r="T1504" s="20"/>
    </row>
    <row r="1505" spans="7:20" x14ac:dyDescent="0.2">
      <c r="G1505" s="18"/>
      <c r="H1505" s="19"/>
      <c r="I1505" s="18"/>
      <c r="J1505" s="18"/>
      <c r="K1505" s="18"/>
      <c r="L1505" s="18"/>
      <c r="M1505" s="18"/>
      <c r="N1505" s="18"/>
      <c r="O1505" s="18"/>
      <c r="S1505" s="18"/>
      <c r="T1505" s="20"/>
    </row>
    <row r="1506" spans="7:20" x14ac:dyDescent="0.2">
      <c r="G1506" s="18"/>
      <c r="H1506" s="19"/>
      <c r="I1506" s="18"/>
      <c r="J1506" s="18"/>
      <c r="K1506" s="18"/>
      <c r="L1506" s="18"/>
      <c r="M1506" s="18"/>
      <c r="N1506" s="18"/>
      <c r="O1506" s="18"/>
      <c r="S1506" s="18"/>
      <c r="T1506" s="20"/>
    </row>
    <row r="1507" spans="7:20" x14ac:dyDescent="0.2">
      <c r="G1507" s="18"/>
      <c r="H1507" s="19"/>
      <c r="I1507" s="18"/>
      <c r="J1507" s="18"/>
      <c r="K1507" s="18"/>
      <c r="L1507" s="18"/>
      <c r="M1507" s="18"/>
      <c r="N1507" s="18"/>
      <c r="O1507" s="18"/>
      <c r="S1507" s="18"/>
      <c r="T1507" s="20"/>
    </row>
    <row r="1508" spans="7:20" x14ac:dyDescent="0.2">
      <c r="G1508" s="18"/>
      <c r="H1508" s="19"/>
      <c r="I1508" s="18"/>
      <c r="J1508" s="18"/>
      <c r="K1508" s="18"/>
      <c r="L1508" s="18"/>
      <c r="M1508" s="18"/>
      <c r="N1508" s="18"/>
      <c r="O1508" s="18"/>
      <c r="S1508" s="18"/>
      <c r="T1508" s="20"/>
    </row>
    <row r="1509" spans="7:20" x14ac:dyDescent="0.2">
      <c r="G1509" s="18"/>
      <c r="H1509" s="19"/>
      <c r="I1509" s="18"/>
      <c r="J1509" s="18"/>
      <c r="K1509" s="18"/>
      <c r="L1509" s="18"/>
      <c r="M1509" s="18"/>
      <c r="N1509" s="18"/>
      <c r="O1509" s="18"/>
      <c r="S1509" s="18"/>
      <c r="T1509" s="20"/>
    </row>
    <row r="1510" spans="7:20" x14ac:dyDescent="0.2">
      <c r="G1510" s="18"/>
      <c r="H1510" s="19"/>
      <c r="I1510" s="18"/>
      <c r="J1510" s="18"/>
      <c r="K1510" s="18"/>
      <c r="L1510" s="18"/>
      <c r="M1510" s="18"/>
      <c r="N1510" s="18"/>
      <c r="O1510" s="18"/>
      <c r="S1510" s="18"/>
      <c r="T1510" s="20"/>
    </row>
    <row r="1511" spans="7:20" x14ac:dyDescent="0.2">
      <c r="G1511" s="18"/>
      <c r="H1511" s="19"/>
      <c r="I1511" s="18"/>
      <c r="J1511" s="18"/>
      <c r="K1511" s="18"/>
      <c r="L1511" s="18"/>
      <c r="M1511" s="18"/>
      <c r="N1511" s="18"/>
      <c r="O1511" s="18"/>
      <c r="S1511" s="18"/>
      <c r="T1511" s="20"/>
    </row>
    <row r="1512" spans="7:20" x14ac:dyDescent="0.2">
      <c r="G1512" s="18"/>
      <c r="H1512" s="19"/>
      <c r="I1512" s="18"/>
      <c r="J1512" s="18"/>
      <c r="K1512" s="18"/>
      <c r="L1512" s="18"/>
      <c r="M1512" s="18"/>
      <c r="N1512" s="18"/>
      <c r="O1512" s="18"/>
      <c r="S1512" s="18"/>
      <c r="T1512" s="20"/>
    </row>
    <row r="1513" spans="7:20" x14ac:dyDescent="0.2">
      <c r="G1513" s="18"/>
      <c r="H1513" s="19"/>
      <c r="I1513" s="18"/>
      <c r="J1513" s="18"/>
      <c r="K1513" s="18"/>
      <c r="L1513" s="18"/>
      <c r="M1513" s="18"/>
      <c r="N1513" s="18"/>
      <c r="O1513" s="18"/>
      <c r="S1513" s="18"/>
      <c r="T1513" s="20"/>
    </row>
    <row r="1514" spans="7:20" x14ac:dyDescent="0.2">
      <c r="G1514" s="18"/>
      <c r="H1514" s="19"/>
      <c r="I1514" s="18"/>
      <c r="J1514" s="18"/>
      <c r="K1514" s="18"/>
      <c r="L1514" s="18"/>
      <c r="M1514" s="18"/>
      <c r="N1514" s="18"/>
      <c r="O1514" s="18"/>
      <c r="S1514" s="18"/>
      <c r="T1514" s="20"/>
    </row>
    <row r="1515" spans="7:20" x14ac:dyDescent="0.2">
      <c r="G1515" s="18"/>
      <c r="H1515" s="19"/>
      <c r="I1515" s="18"/>
      <c r="J1515" s="18"/>
      <c r="K1515" s="18"/>
      <c r="L1515" s="18"/>
      <c r="M1515" s="18"/>
      <c r="N1515" s="18"/>
      <c r="O1515" s="18"/>
      <c r="S1515" s="18"/>
      <c r="T1515" s="20"/>
    </row>
    <row r="1516" spans="7:20" x14ac:dyDescent="0.2">
      <c r="G1516" s="18"/>
      <c r="H1516" s="19"/>
      <c r="I1516" s="18"/>
      <c r="J1516" s="18"/>
      <c r="K1516" s="18"/>
      <c r="L1516" s="18"/>
      <c r="M1516" s="18"/>
      <c r="N1516" s="18"/>
      <c r="O1516" s="18"/>
      <c r="S1516" s="18"/>
      <c r="T1516" s="20"/>
    </row>
    <row r="1517" spans="7:20" x14ac:dyDescent="0.2">
      <c r="G1517" s="18"/>
      <c r="H1517" s="19"/>
      <c r="I1517" s="18"/>
      <c r="J1517" s="18"/>
      <c r="K1517" s="18"/>
      <c r="L1517" s="18"/>
      <c r="M1517" s="18"/>
      <c r="N1517" s="18"/>
      <c r="O1517" s="18"/>
      <c r="S1517" s="18"/>
      <c r="T1517" s="20"/>
    </row>
    <row r="1518" spans="7:20" x14ac:dyDescent="0.2">
      <c r="G1518" s="18"/>
      <c r="H1518" s="19"/>
      <c r="I1518" s="18"/>
      <c r="J1518" s="18"/>
      <c r="K1518" s="18"/>
      <c r="L1518" s="18"/>
      <c r="M1518" s="18"/>
      <c r="N1518" s="18"/>
      <c r="O1518" s="18"/>
      <c r="S1518" s="18"/>
      <c r="T1518" s="20"/>
    </row>
    <row r="1519" spans="7:20" x14ac:dyDescent="0.2">
      <c r="G1519" s="18"/>
      <c r="H1519" s="19"/>
      <c r="I1519" s="18"/>
      <c r="J1519" s="18"/>
      <c r="K1519" s="18"/>
      <c r="L1519" s="18"/>
      <c r="M1519" s="18"/>
      <c r="N1519" s="18"/>
      <c r="O1519" s="18"/>
      <c r="S1519" s="18"/>
      <c r="T1519" s="20"/>
    </row>
    <row r="1520" spans="7:20" x14ac:dyDescent="0.2">
      <c r="G1520" s="18"/>
      <c r="H1520" s="19"/>
      <c r="I1520" s="18"/>
      <c r="J1520" s="18"/>
      <c r="K1520" s="18"/>
      <c r="L1520" s="18"/>
      <c r="M1520" s="18"/>
      <c r="N1520" s="18"/>
      <c r="O1520" s="18"/>
      <c r="S1520" s="18"/>
      <c r="T1520" s="20"/>
    </row>
    <row r="1521" spans="7:15" x14ac:dyDescent="0.2">
      <c r="G1521" s="18"/>
      <c r="H1521" s="19"/>
      <c r="I1521" s="18"/>
      <c r="J1521" s="18"/>
      <c r="K1521" s="18"/>
      <c r="L1521" s="18"/>
      <c r="M1521" s="18"/>
      <c r="N1521" s="18"/>
      <c r="O1521" s="18"/>
    </row>
    <row r="1522" spans="7:15" x14ac:dyDescent="0.2">
      <c r="G1522" s="18"/>
      <c r="H1522" s="19"/>
      <c r="I1522" s="18"/>
      <c r="J1522" s="18"/>
      <c r="K1522" s="18"/>
      <c r="L1522" s="18"/>
      <c r="M1522" s="18"/>
      <c r="N1522" s="18"/>
      <c r="O1522" s="18"/>
    </row>
    <row r="1523" spans="7:15" x14ac:dyDescent="0.2">
      <c r="G1523" s="18"/>
      <c r="H1523" s="19"/>
      <c r="I1523" s="18"/>
      <c r="J1523" s="18"/>
      <c r="K1523" s="18"/>
      <c r="L1523" s="18"/>
      <c r="M1523" s="18"/>
      <c r="N1523" s="18"/>
      <c r="O1523" s="18"/>
    </row>
    <row r="1524" spans="7:15" x14ac:dyDescent="0.2">
      <c r="G1524" s="18"/>
      <c r="H1524" s="19"/>
      <c r="I1524" s="18"/>
      <c r="J1524" s="18"/>
      <c r="K1524" s="18"/>
      <c r="L1524" s="18"/>
      <c r="M1524" s="18"/>
      <c r="N1524" s="18"/>
      <c r="O1524" s="18"/>
    </row>
    <row r="1525" spans="7:15" x14ac:dyDescent="0.2">
      <c r="G1525" s="18"/>
      <c r="H1525" s="19"/>
      <c r="I1525" s="18"/>
      <c r="J1525" s="18"/>
      <c r="K1525" s="18"/>
      <c r="L1525" s="18"/>
      <c r="M1525" s="18"/>
      <c r="N1525" s="18"/>
      <c r="O1525" s="18"/>
    </row>
    <row r="1526" spans="7:15" x14ac:dyDescent="0.2">
      <c r="G1526" s="18"/>
      <c r="H1526" s="19"/>
      <c r="I1526" s="18"/>
      <c r="J1526" s="18"/>
      <c r="K1526" s="18"/>
      <c r="L1526" s="18"/>
      <c r="M1526" s="18"/>
      <c r="N1526" s="18"/>
      <c r="O1526" s="18"/>
    </row>
    <row r="1527" spans="7:15" x14ac:dyDescent="0.2">
      <c r="G1527" s="18"/>
      <c r="H1527" s="19"/>
      <c r="I1527" s="18"/>
      <c r="J1527" s="18"/>
      <c r="K1527" s="18"/>
      <c r="L1527" s="18"/>
      <c r="M1527" s="18"/>
      <c r="N1527" s="18"/>
      <c r="O1527" s="18"/>
    </row>
    <row r="1528" spans="7:15" x14ac:dyDescent="0.2">
      <c r="G1528" s="18"/>
      <c r="H1528" s="19"/>
      <c r="I1528" s="18"/>
      <c r="J1528" s="18"/>
      <c r="K1528" s="18"/>
      <c r="L1528" s="18"/>
      <c r="M1528" s="18"/>
      <c r="N1528" s="18"/>
      <c r="O1528" s="18"/>
    </row>
    <row r="1529" spans="7:15" x14ac:dyDescent="0.2">
      <c r="G1529" s="18"/>
      <c r="H1529" s="19"/>
      <c r="I1529" s="18"/>
      <c r="J1529" s="18"/>
      <c r="K1529" s="18"/>
      <c r="L1529" s="18"/>
      <c r="M1529" s="18"/>
      <c r="N1529" s="18"/>
      <c r="O1529" s="18"/>
    </row>
    <row r="1530" spans="7:15" x14ac:dyDescent="0.2">
      <c r="G1530" s="18"/>
      <c r="H1530" s="19"/>
      <c r="I1530" s="18"/>
      <c r="J1530" s="18"/>
      <c r="K1530" s="18"/>
      <c r="L1530" s="18"/>
      <c r="M1530" s="18"/>
      <c r="N1530" s="18"/>
      <c r="O1530" s="18"/>
    </row>
    <row r="1531" spans="7:15" x14ac:dyDescent="0.2">
      <c r="G1531" s="18"/>
      <c r="H1531" s="19"/>
      <c r="I1531" s="18"/>
      <c r="J1531" s="18"/>
      <c r="K1531" s="18"/>
      <c r="L1531" s="18"/>
      <c r="M1531" s="18"/>
      <c r="N1531" s="18"/>
      <c r="O1531" s="18"/>
    </row>
    <row r="1532" spans="7:15" x14ac:dyDescent="0.2">
      <c r="G1532" s="18"/>
      <c r="H1532" s="19"/>
      <c r="I1532" s="18"/>
      <c r="J1532" s="18"/>
      <c r="K1532" s="18"/>
      <c r="L1532" s="18"/>
      <c r="M1532" s="18"/>
      <c r="N1532" s="18"/>
      <c r="O1532" s="18"/>
    </row>
    <row r="1533" spans="7:15" x14ac:dyDescent="0.2">
      <c r="G1533" s="18"/>
      <c r="H1533" s="19"/>
      <c r="I1533" s="18"/>
      <c r="J1533" s="18"/>
      <c r="K1533" s="18"/>
      <c r="L1533" s="18"/>
      <c r="M1533" s="18"/>
      <c r="N1533" s="18"/>
      <c r="O1533" s="18"/>
    </row>
    <row r="1534" spans="7:15" x14ac:dyDescent="0.2">
      <c r="G1534" s="18"/>
      <c r="H1534" s="19"/>
      <c r="I1534" s="18"/>
      <c r="J1534" s="18"/>
      <c r="K1534" s="18"/>
      <c r="L1534" s="18"/>
      <c r="M1534" s="18"/>
      <c r="N1534" s="18"/>
      <c r="O1534" s="18"/>
    </row>
    <row r="1535" spans="7:15" x14ac:dyDescent="0.2">
      <c r="G1535" s="18"/>
      <c r="H1535" s="19"/>
      <c r="I1535" s="18"/>
      <c r="J1535" s="18"/>
      <c r="K1535" s="18"/>
      <c r="L1535" s="18"/>
      <c r="M1535" s="18"/>
      <c r="N1535" s="18"/>
      <c r="O1535" s="18"/>
    </row>
    <row r="1536" spans="7:15" x14ac:dyDescent="0.2">
      <c r="G1536" s="18"/>
      <c r="H1536" s="19"/>
      <c r="I1536" s="18"/>
      <c r="J1536" s="18"/>
      <c r="K1536" s="18"/>
      <c r="L1536" s="18"/>
      <c r="M1536" s="18"/>
      <c r="N1536" s="18"/>
      <c r="O1536" s="18"/>
    </row>
    <row r="1537" spans="7:15" x14ac:dyDescent="0.2">
      <c r="G1537" s="18"/>
      <c r="H1537" s="19"/>
      <c r="I1537" s="18"/>
      <c r="J1537" s="18"/>
      <c r="K1537" s="18"/>
      <c r="L1537" s="18"/>
      <c r="M1537" s="18"/>
      <c r="N1537" s="18"/>
      <c r="O1537" s="18"/>
    </row>
    <row r="1538" spans="7:15" x14ac:dyDescent="0.2">
      <c r="G1538" s="18"/>
      <c r="H1538" s="19"/>
      <c r="I1538" s="18"/>
      <c r="J1538" s="18"/>
      <c r="K1538" s="18"/>
      <c r="L1538" s="18"/>
      <c r="M1538" s="18"/>
      <c r="N1538" s="18"/>
      <c r="O1538" s="18"/>
    </row>
    <row r="1539" spans="7:15" x14ac:dyDescent="0.2">
      <c r="G1539" s="18"/>
      <c r="H1539" s="19"/>
      <c r="I1539" s="18"/>
      <c r="J1539" s="18"/>
      <c r="K1539" s="18"/>
      <c r="L1539" s="18"/>
      <c r="M1539" s="18"/>
      <c r="N1539" s="18"/>
      <c r="O1539" s="18"/>
    </row>
    <row r="1540" spans="7:15" x14ac:dyDescent="0.2">
      <c r="G1540" s="18"/>
      <c r="H1540" s="19"/>
      <c r="I1540" s="18"/>
      <c r="J1540" s="18"/>
      <c r="K1540" s="18"/>
      <c r="L1540" s="18"/>
      <c r="M1540" s="18"/>
      <c r="N1540" s="18"/>
      <c r="O1540" s="18"/>
    </row>
    <row r="1541" spans="7:15" x14ac:dyDescent="0.2">
      <c r="G1541" s="18"/>
      <c r="H1541" s="19"/>
      <c r="I1541" s="18"/>
      <c r="J1541" s="18"/>
      <c r="K1541" s="18"/>
      <c r="L1541" s="18"/>
      <c r="M1541" s="18"/>
      <c r="N1541" s="18"/>
      <c r="O1541" s="18"/>
    </row>
    <row r="1542" spans="7:15" x14ac:dyDescent="0.2">
      <c r="G1542" s="18"/>
      <c r="H1542" s="19"/>
      <c r="I1542" s="18"/>
      <c r="J1542" s="18"/>
      <c r="K1542" s="18"/>
      <c r="L1542" s="18"/>
      <c r="M1542" s="18"/>
      <c r="N1542" s="18"/>
      <c r="O1542" s="18"/>
    </row>
    <row r="1543" spans="7:15" x14ac:dyDescent="0.2">
      <c r="G1543" s="18"/>
      <c r="H1543" s="19"/>
      <c r="I1543" s="18"/>
      <c r="J1543" s="18"/>
      <c r="K1543" s="18"/>
      <c r="L1543" s="18"/>
      <c r="M1543" s="18"/>
      <c r="N1543" s="18"/>
      <c r="O1543" s="18"/>
    </row>
    <row r="1544" spans="7:15" x14ac:dyDescent="0.2">
      <c r="G1544" s="18"/>
      <c r="H1544" s="19"/>
      <c r="I1544" s="18"/>
      <c r="J1544" s="18"/>
      <c r="K1544" s="18"/>
      <c r="L1544" s="18"/>
      <c r="M1544" s="18"/>
      <c r="N1544" s="18"/>
      <c r="O1544" s="18"/>
    </row>
    <row r="1545" spans="7:15" x14ac:dyDescent="0.2">
      <c r="G1545" s="18"/>
      <c r="H1545" s="19"/>
      <c r="I1545" s="18"/>
      <c r="J1545" s="18"/>
      <c r="K1545" s="18"/>
      <c r="L1545" s="18"/>
      <c r="M1545" s="18"/>
      <c r="N1545" s="18"/>
      <c r="O1545" s="18"/>
    </row>
    <row r="1546" spans="7:15" x14ac:dyDescent="0.2">
      <c r="G1546" s="18"/>
      <c r="H1546" s="19"/>
      <c r="I1546" s="18"/>
      <c r="J1546" s="18"/>
      <c r="K1546" s="18"/>
      <c r="L1546" s="18"/>
      <c r="M1546" s="18"/>
      <c r="N1546" s="18"/>
      <c r="O1546" s="18"/>
    </row>
    <row r="1547" spans="7:15" x14ac:dyDescent="0.2">
      <c r="G1547" s="18"/>
      <c r="H1547" s="19"/>
      <c r="I1547" s="18"/>
      <c r="J1547" s="18"/>
      <c r="K1547" s="18"/>
      <c r="L1547" s="18"/>
      <c r="M1547" s="18"/>
      <c r="N1547" s="18"/>
      <c r="O1547" s="18"/>
    </row>
    <row r="1548" spans="7:15" x14ac:dyDescent="0.2">
      <c r="G1548" s="18"/>
      <c r="H1548" s="19"/>
      <c r="I1548" s="18"/>
      <c r="J1548" s="18"/>
      <c r="K1548" s="18"/>
      <c r="L1548" s="18"/>
      <c r="M1548" s="18"/>
      <c r="N1548" s="18"/>
      <c r="O1548" s="18"/>
    </row>
    <row r="1549" spans="7:15" x14ac:dyDescent="0.2">
      <c r="G1549" s="18"/>
      <c r="H1549" s="19"/>
      <c r="I1549" s="18"/>
      <c r="J1549" s="18"/>
      <c r="K1549" s="18"/>
      <c r="L1549" s="18"/>
      <c r="M1549" s="18"/>
      <c r="N1549" s="18"/>
      <c r="O1549" s="18"/>
    </row>
    <row r="1550" spans="7:15" x14ac:dyDescent="0.2">
      <c r="G1550" s="18"/>
      <c r="H1550" s="19"/>
      <c r="I1550" s="18"/>
      <c r="J1550" s="18"/>
      <c r="K1550" s="18"/>
      <c r="L1550" s="18"/>
      <c r="M1550" s="18"/>
      <c r="N1550" s="18"/>
      <c r="O1550" s="18"/>
    </row>
    <row r="1551" spans="7:15" x14ac:dyDescent="0.2">
      <c r="G1551" s="18"/>
      <c r="H1551" s="19"/>
      <c r="I1551" s="18"/>
      <c r="J1551" s="18"/>
      <c r="K1551" s="18"/>
      <c r="L1551" s="18"/>
      <c r="M1551" s="18"/>
      <c r="N1551" s="18"/>
      <c r="O1551" s="18"/>
    </row>
    <row r="1552" spans="7:15" x14ac:dyDescent="0.2">
      <c r="G1552" s="18"/>
      <c r="H1552" s="19"/>
      <c r="I1552" s="18"/>
      <c r="J1552" s="18"/>
      <c r="K1552" s="18"/>
      <c r="L1552" s="18"/>
      <c r="M1552" s="18"/>
      <c r="N1552" s="18"/>
      <c r="O1552" s="18"/>
    </row>
    <row r="1553" spans="7:15" x14ac:dyDescent="0.2">
      <c r="G1553" s="18"/>
      <c r="H1553" s="19"/>
      <c r="I1553" s="18"/>
      <c r="J1553" s="18"/>
      <c r="K1553" s="18"/>
      <c r="L1553" s="18"/>
      <c r="M1553" s="18"/>
      <c r="N1553" s="18"/>
      <c r="O1553" s="18"/>
    </row>
    <row r="1554" spans="7:15" x14ac:dyDescent="0.2">
      <c r="G1554" s="18"/>
      <c r="H1554" s="19"/>
      <c r="I1554" s="18"/>
      <c r="J1554" s="18"/>
      <c r="K1554" s="18"/>
      <c r="L1554" s="18"/>
      <c r="M1554" s="18"/>
      <c r="N1554" s="18"/>
      <c r="O1554" s="18"/>
    </row>
    <row r="1555" spans="7:15" x14ac:dyDescent="0.2">
      <c r="G1555" s="18"/>
      <c r="H1555" s="19"/>
      <c r="I1555" s="18"/>
      <c r="J1555" s="18"/>
      <c r="K1555" s="18"/>
      <c r="L1555" s="18"/>
      <c r="M1555" s="18"/>
      <c r="N1555" s="18"/>
      <c r="O1555" s="18"/>
    </row>
    <row r="1556" spans="7:15" x14ac:dyDescent="0.2">
      <c r="G1556" s="18"/>
      <c r="H1556" s="19"/>
      <c r="I1556" s="18"/>
      <c r="J1556" s="18"/>
      <c r="K1556" s="18"/>
      <c r="L1556" s="18"/>
      <c r="M1556" s="18"/>
      <c r="N1556" s="18"/>
      <c r="O1556" s="18"/>
    </row>
    <row r="1557" spans="7:15" x14ac:dyDescent="0.2">
      <c r="G1557" s="18"/>
      <c r="H1557" s="19"/>
      <c r="I1557" s="18"/>
      <c r="J1557" s="18"/>
      <c r="K1557" s="18"/>
      <c r="L1557" s="18"/>
      <c r="M1557" s="18"/>
      <c r="N1557" s="18"/>
      <c r="O1557" s="18"/>
    </row>
    <row r="1558" spans="7:15" x14ac:dyDescent="0.2">
      <c r="G1558" s="18"/>
      <c r="H1558" s="19"/>
      <c r="I1558" s="18"/>
      <c r="J1558" s="18"/>
      <c r="K1558" s="18"/>
      <c r="L1558" s="18"/>
      <c r="M1558" s="18"/>
      <c r="N1558" s="18"/>
      <c r="O1558" s="18"/>
    </row>
    <row r="1559" spans="7:15" x14ac:dyDescent="0.2">
      <c r="G1559" s="18"/>
      <c r="H1559" s="19"/>
      <c r="I1559" s="18"/>
      <c r="J1559" s="18"/>
      <c r="K1559" s="18"/>
      <c r="L1559" s="18"/>
      <c r="M1559" s="18"/>
      <c r="N1559" s="18"/>
      <c r="O1559" s="18"/>
    </row>
    <row r="1560" spans="7:15" x14ac:dyDescent="0.2">
      <c r="G1560" s="18"/>
      <c r="H1560" s="19"/>
      <c r="I1560" s="18"/>
      <c r="J1560" s="18"/>
      <c r="K1560" s="18"/>
      <c r="L1560" s="18"/>
      <c r="M1560" s="18"/>
      <c r="N1560" s="18"/>
      <c r="O1560" s="18"/>
    </row>
    <row r="1561" spans="7:15" x14ac:dyDescent="0.2">
      <c r="G1561" s="18"/>
      <c r="H1561" s="19"/>
      <c r="I1561" s="18"/>
      <c r="J1561" s="18"/>
      <c r="K1561" s="18"/>
      <c r="L1561" s="18"/>
      <c r="M1561" s="18"/>
      <c r="N1561" s="18"/>
      <c r="O1561" s="18"/>
    </row>
    <row r="1562" spans="7:15" x14ac:dyDescent="0.2">
      <c r="G1562" s="18"/>
      <c r="H1562" s="19"/>
      <c r="I1562" s="18"/>
      <c r="J1562" s="18"/>
      <c r="K1562" s="18"/>
      <c r="L1562" s="18"/>
      <c r="M1562" s="18"/>
      <c r="N1562" s="18"/>
      <c r="O1562" s="18"/>
    </row>
    <row r="1563" spans="7:15" x14ac:dyDescent="0.2">
      <c r="G1563" s="18"/>
      <c r="H1563" s="19"/>
      <c r="I1563" s="18"/>
      <c r="J1563" s="18"/>
      <c r="K1563" s="18"/>
      <c r="L1563" s="18"/>
      <c r="M1563" s="18"/>
      <c r="N1563" s="18"/>
      <c r="O1563" s="18"/>
    </row>
    <row r="1564" spans="7:15" x14ac:dyDescent="0.2">
      <c r="G1564" s="18"/>
      <c r="H1564" s="19"/>
      <c r="I1564" s="18"/>
      <c r="J1564" s="18"/>
      <c r="K1564" s="18"/>
      <c r="L1564" s="18"/>
      <c r="M1564" s="18"/>
      <c r="N1564" s="18"/>
      <c r="O1564" s="18"/>
    </row>
    <row r="1565" spans="7:15" x14ac:dyDescent="0.2">
      <c r="G1565" s="18"/>
      <c r="H1565" s="19"/>
      <c r="I1565" s="18"/>
      <c r="J1565" s="18"/>
      <c r="K1565" s="18"/>
      <c r="L1565" s="18"/>
      <c r="M1565" s="18"/>
      <c r="N1565" s="18"/>
      <c r="O1565" s="18"/>
    </row>
    <row r="1566" spans="7:15" x14ac:dyDescent="0.2">
      <c r="G1566" s="18"/>
      <c r="H1566" s="19"/>
      <c r="I1566" s="18"/>
      <c r="J1566" s="18"/>
      <c r="K1566" s="18"/>
      <c r="L1566" s="18"/>
      <c r="M1566" s="18"/>
      <c r="N1566" s="18"/>
      <c r="O1566" s="18"/>
    </row>
    <row r="1567" spans="7:15" x14ac:dyDescent="0.2">
      <c r="G1567" s="18"/>
      <c r="H1567" s="19"/>
      <c r="I1567" s="18"/>
      <c r="J1567" s="18"/>
      <c r="K1567" s="18"/>
      <c r="L1567" s="18"/>
      <c r="M1567" s="18"/>
      <c r="N1567" s="18"/>
      <c r="O1567" s="18"/>
    </row>
    <row r="1568" spans="7:15" x14ac:dyDescent="0.2">
      <c r="G1568" s="18"/>
      <c r="H1568" s="19"/>
      <c r="I1568" s="18"/>
      <c r="J1568" s="18"/>
      <c r="K1568" s="18"/>
      <c r="L1568" s="18"/>
      <c r="M1568" s="18"/>
      <c r="N1568" s="18"/>
      <c r="O1568" s="18"/>
    </row>
    <row r="1569" spans="7:15" x14ac:dyDescent="0.2">
      <c r="G1569" s="18"/>
      <c r="H1569" s="19"/>
      <c r="I1569" s="18"/>
      <c r="J1569" s="18"/>
      <c r="K1569" s="18"/>
      <c r="L1569" s="18"/>
      <c r="M1569" s="18"/>
      <c r="N1569" s="18"/>
      <c r="O1569" s="18"/>
    </row>
    <row r="1570" spans="7:15" x14ac:dyDescent="0.2">
      <c r="G1570" s="18"/>
      <c r="H1570" s="19"/>
      <c r="I1570" s="18"/>
      <c r="J1570" s="18"/>
      <c r="K1570" s="18"/>
      <c r="L1570" s="18"/>
      <c r="M1570" s="18"/>
      <c r="N1570" s="18"/>
      <c r="O1570" s="18"/>
    </row>
    <row r="1571" spans="7:15" x14ac:dyDescent="0.2">
      <c r="G1571" s="18"/>
      <c r="H1571" s="19"/>
      <c r="I1571" s="18"/>
      <c r="J1571" s="18"/>
      <c r="K1571" s="18"/>
      <c r="L1571" s="18"/>
      <c r="M1571" s="18"/>
      <c r="N1571" s="18"/>
      <c r="O1571" s="18"/>
    </row>
    <row r="1572" spans="7:15" x14ac:dyDescent="0.2">
      <c r="G1572" s="18"/>
      <c r="H1572" s="19"/>
      <c r="I1572" s="18"/>
      <c r="J1572" s="18"/>
      <c r="K1572" s="18"/>
      <c r="L1572" s="18"/>
      <c r="M1572" s="18"/>
      <c r="N1572" s="18"/>
      <c r="O1572" s="18"/>
    </row>
    <row r="1573" spans="7:15" x14ac:dyDescent="0.2">
      <c r="G1573" s="18"/>
      <c r="H1573" s="19"/>
      <c r="I1573" s="18"/>
      <c r="J1573" s="18"/>
      <c r="K1573" s="18"/>
      <c r="L1573" s="18"/>
      <c r="M1573" s="18"/>
      <c r="N1573" s="18"/>
      <c r="O1573" s="18"/>
    </row>
    <row r="1574" spans="7:15" x14ac:dyDescent="0.2">
      <c r="G1574" s="18"/>
      <c r="H1574" s="19"/>
      <c r="I1574" s="18"/>
      <c r="J1574" s="18"/>
      <c r="K1574" s="18"/>
      <c r="L1574" s="18"/>
      <c r="M1574" s="18"/>
      <c r="N1574" s="18"/>
      <c r="O1574" s="18"/>
    </row>
    <row r="1575" spans="7:15" x14ac:dyDescent="0.2">
      <c r="G1575" s="18"/>
      <c r="H1575" s="19"/>
      <c r="I1575" s="18"/>
      <c r="J1575" s="18"/>
      <c r="K1575" s="18"/>
      <c r="L1575" s="18"/>
      <c r="M1575" s="18"/>
      <c r="N1575" s="18"/>
      <c r="O1575" s="18"/>
    </row>
    <row r="1576" spans="7:15" x14ac:dyDescent="0.2">
      <c r="G1576" s="18"/>
      <c r="H1576" s="19"/>
      <c r="I1576" s="18"/>
      <c r="J1576" s="18"/>
      <c r="K1576" s="18"/>
      <c r="L1576" s="18"/>
      <c r="M1576" s="18"/>
      <c r="N1576" s="18"/>
      <c r="O1576" s="18"/>
    </row>
    <row r="1577" spans="7:15" x14ac:dyDescent="0.2">
      <c r="G1577" s="18"/>
      <c r="H1577" s="19"/>
      <c r="I1577" s="18"/>
      <c r="J1577" s="18"/>
      <c r="K1577" s="18"/>
      <c r="L1577" s="18"/>
      <c r="M1577" s="18"/>
      <c r="N1577" s="18"/>
      <c r="O1577" s="18"/>
    </row>
    <row r="1578" spans="7:15" x14ac:dyDescent="0.2">
      <c r="G1578" s="18"/>
      <c r="H1578" s="19"/>
      <c r="I1578" s="18"/>
      <c r="J1578" s="18"/>
      <c r="K1578" s="18"/>
      <c r="L1578" s="18"/>
      <c r="M1578" s="18"/>
      <c r="N1578" s="18"/>
      <c r="O1578" s="18"/>
    </row>
    <row r="1579" spans="7:15" x14ac:dyDescent="0.2">
      <c r="G1579" s="18"/>
      <c r="H1579" s="19"/>
      <c r="I1579" s="18"/>
      <c r="J1579" s="18"/>
      <c r="K1579" s="18"/>
      <c r="L1579" s="18"/>
      <c r="M1579" s="18"/>
      <c r="N1579" s="18"/>
      <c r="O1579" s="18"/>
    </row>
    <row r="1580" spans="7:15" x14ac:dyDescent="0.2">
      <c r="G1580" s="18"/>
      <c r="H1580" s="19"/>
      <c r="I1580" s="18"/>
      <c r="J1580" s="18"/>
      <c r="K1580" s="18"/>
      <c r="L1580" s="18"/>
      <c r="M1580" s="18"/>
      <c r="N1580" s="18"/>
      <c r="O1580" s="18"/>
    </row>
    <row r="1581" spans="7:15" x14ac:dyDescent="0.2">
      <c r="G1581" s="18"/>
      <c r="H1581" s="19"/>
      <c r="I1581" s="18"/>
      <c r="J1581" s="18"/>
      <c r="K1581" s="18"/>
      <c r="L1581" s="18"/>
      <c r="M1581" s="18"/>
      <c r="N1581" s="18"/>
      <c r="O1581" s="18"/>
    </row>
    <row r="1582" spans="7:15" x14ac:dyDescent="0.2">
      <c r="G1582" s="18"/>
      <c r="H1582" s="19"/>
      <c r="I1582" s="18"/>
      <c r="J1582" s="18"/>
      <c r="K1582" s="18"/>
      <c r="L1582" s="18"/>
      <c r="M1582" s="18"/>
      <c r="N1582" s="18"/>
      <c r="O1582" s="18"/>
    </row>
    <row r="1583" spans="7:15" x14ac:dyDescent="0.2">
      <c r="G1583" s="18"/>
      <c r="H1583" s="19"/>
      <c r="I1583" s="18"/>
      <c r="J1583" s="18"/>
      <c r="K1583" s="18"/>
      <c r="L1583" s="18"/>
      <c r="M1583" s="18"/>
      <c r="N1583" s="18"/>
      <c r="O1583" s="18"/>
    </row>
    <row r="1584" spans="7:15" x14ac:dyDescent="0.2">
      <c r="G1584" s="18"/>
      <c r="H1584" s="19"/>
      <c r="I1584" s="18"/>
      <c r="J1584" s="18"/>
      <c r="K1584" s="18"/>
      <c r="L1584" s="18"/>
      <c r="M1584" s="18"/>
      <c r="N1584" s="18"/>
      <c r="O1584" s="18"/>
    </row>
    <row r="1585" spans="7:15" x14ac:dyDescent="0.2">
      <c r="G1585" s="18"/>
      <c r="H1585" s="19"/>
      <c r="I1585" s="18"/>
      <c r="J1585" s="18"/>
      <c r="K1585" s="18"/>
      <c r="L1585" s="18"/>
      <c r="M1585" s="18"/>
      <c r="N1585" s="18"/>
      <c r="O1585" s="18"/>
    </row>
    <row r="1586" spans="7:15" x14ac:dyDescent="0.2">
      <c r="G1586" s="18"/>
      <c r="H1586" s="19"/>
      <c r="I1586" s="18"/>
      <c r="J1586" s="18"/>
      <c r="K1586" s="18"/>
      <c r="L1586" s="18"/>
      <c r="M1586" s="18"/>
      <c r="N1586" s="18"/>
      <c r="O1586" s="18"/>
    </row>
    <row r="1587" spans="7:15" x14ac:dyDescent="0.2">
      <c r="G1587" s="18"/>
      <c r="H1587" s="19"/>
      <c r="I1587" s="18"/>
      <c r="J1587" s="18"/>
      <c r="K1587" s="18"/>
      <c r="L1587" s="18"/>
      <c r="M1587" s="18"/>
      <c r="N1587" s="18"/>
      <c r="O1587" s="18"/>
    </row>
    <row r="1588" spans="7:15" x14ac:dyDescent="0.2">
      <c r="G1588" s="18"/>
      <c r="H1588" s="19"/>
      <c r="I1588" s="18"/>
      <c r="J1588" s="18"/>
      <c r="K1588" s="18"/>
      <c r="L1588" s="18"/>
      <c r="M1588" s="18"/>
      <c r="N1588" s="18"/>
      <c r="O1588" s="18"/>
    </row>
    <row r="1589" spans="7:15" x14ac:dyDescent="0.2">
      <c r="G1589" s="18"/>
      <c r="H1589" s="19"/>
      <c r="I1589" s="18"/>
      <c r="J1589" s="18"/>
      <c r="K1589" s="18"/>
      <c r="L1589" s="18"/>
      <c r="M1589" s="18"/>
      <c r="N1589" s="18"/>
      <c r="O1589" s="18"/>
    </row>
    <row r="1590" spans="7:15" x14ac:dyDescent="0.2">
      <c r="G1590" s="18"/>
      <c r="H1590" s="19"/>
      <c r="I1590" s="18"/>
      <c r="J1590" s="18"/>
      <c r="K1590" s="18"/>
      <c r="L1590" s="18"/>
      <c r="M1590" s="18"/>
      <c r="N1590" s="18"/>
      <c r="O1590" s="18"/>
    </row>
    <row r="1591" spans="7:15" x14ac:dyDescent="0.2">
      <c r="G1591" s="18"/>
      <c r="H1591" s="19"/>
      <c r="I1591" s="18"/>
      <c r="J1591" s="18"/>
      <c r="K1591" s="18"/>
      <c r="L1591" s="18"/>
      <c r="M1591" s="18"/>
      <c r="N1591" s="18"/>
      <c r="O1591" s="18"/>
    </row>
    <row r="1592" spans="7:15" x14ac:dyDescent="0.2">
      <c r="G1592" s="18"/>
      <c r="H1592" s="19"/>
      <c r="I1592" s="18"/>
      <c r="J1592" s="18"/>
      <c r="K1592" s="18"/>
      <c r="L1592" s="18"/>
      <c r="M1592" s="18"/>
      <c r="N1592" s="18"/>
      <c r="O1592" s="18"/>
    </row>
    <row r="1593" spans="7:15" x14ac:dyDescent="0.2">
      <c r="G1593" s="18"/>
      <c r="H1593" s="19"/>
      <c r="I1593" s="18"/>
      <c r="J1593" s="18"/>
      <c r="K1593" s="18"/>
      <c r="L1593" s="18"/>
      <c r="M1593" s="18"/>
      <c r="N1593" s="18"/>
      <c r="O1593" s="18"/>
    </row>
    <row r="1594" spans="7:15" x14ac:dyDescent="0.2">
      <c r="G1594" s="18"/>
      <c r="H1594" s="19"/>
      <c r="I1594" s="18"/>
      <c r="J1594" s="18"/>
      <c r="K1594" s="18"/>
      <c r="L1594" s="18"/>
      <c r="M1594" s="18"/>
      <c r="N1594" s="18"/>
      <c r="O1594" s="18"/>
    </row>
    <row r="1595" spans="7:15" x14ac:dyDescent="0.2">
      <c r="G1595" s="18"/>
      <c r="H1595" s="19"/>
      <c r="I1595" s="18"/>
      <c r="J1595" s="18"/>
      <c r="K1595" s="18"/>
      <c r="L1595" s="18"/>
      <c r="M1595" s="18"/>
      <c r="N1595" s="18"/>
      <c r="O1595" s="18"/>
    </row>
    <row r="1596" spans="7:15" x14ac:dyDescent="0.2">
      <c r="G1596" s="18"/>
      <c r="H1596" s="19"/>
      <c r="I1596" s="18"/>
      <c r="J1596" s="18"/>
      <c r="K1596" s="18"/>
      <c r="L1596" s="18"/>
      <c r="M1596" s="18"/>
      <c r="N1596" s="18"/>
      <c r="O1596" s="18"/>
    </row>
    <row r="1597" spans="7:15" x14ac:dyDescent="0.2">
      <c r="G1597" s="18"/>
      <c r="H1597" s="19"/>
      <c r="I1597" s="18"/>
      <c r="J1597" s="18"/>
      <c r="K1597" s="18"/>
      <c r="L1597" s="18"/>
      <c r="M1597" s="18"/>
      <c r="N1597" s="18"/>
      <c r="O1597" s="18"/>
    </row>
    <row r="1598" spans="7:15" x14ac:dyDescent="0.2">
      <c r="G1598" s="18"/>
      <c r="H1598" s="19"/>
      <c r="I1598" s="18"/>
      <c r="J1598" s="18"/>
      <c r="K1598" s="18"/>
      <c r="L1598" s="18"/>
      <c r="M1598" s="18"/>
      <c r="N1598" s="18"/>
      <c r="O1598" s="18"/>
    </row>
    <row r="1599" spans="7:15" x14ac:dyDescent="0.2">
      <c r="G1599" s="18"/>
      <c r="H1599" s="19"/>
      <c r="I1599" s="18"/>
      <c r="J1599" s="18"/>
      <c r="K1599" s="18"/>
      <c r="L1599" s="18"/>
      <c r="M1599" s="18"/>
      <c r="N1599" s="18"/>
      <c r="O1599" s="18"/>
    </row>
    <row r="1600" spans="7:15" x14ac:dyDescent="0.2">
      <c r="G1600" s="18"/>
      <c r="H1600" s="19"/>
      <c r="I1600" s="18"/>
      <c r="J1600" s="18"/>
      <c r="K1600" s="18"/>
      <c r="L1600" s="18"/>
      <c r="M1600" s="18"/>
      <c r="N1600" s="18"/>
      <c r="O1600" s="18"/>
    </row>
    <row r="1601" spans="7:15" x14ac:dyDescent="0.2">
      <c r="G1601" s="18"/>
      <c r="H1601" s="19"/>
      <c r="I1601" s="18"/>
      <c r="J1601" s="18"/>
      <c r="K1601" s="18"/>
      <c r="L1601" s="18"/>
      <c r="M1601" s="18"/>
      <c r="N1601" s="18"/>
      <c r="O1601" s="18"/>
    </row>
    <row r="1602" spans="7:15" x14ac:dyDescent="0.2">
      <c r="G1602" s="18"/>
      <c r="H1602" s="19"/>
      <c r="I1602" s="18"/>
      <c r="J1602" s="18"/>
      <c r="K1602" s="18"/>
      <c r="L1602" s="18"/>
      <c r="M1602" s="18"/>
      <c r="N1602" s="18"/>
      <c r="O1602" s="18"/>
    </row>
    <row r="1603" spans="7:15" x14ac:dyDescent="0.2">
      <c r="G1603" s="18"/>
      <c r="H1603" s="19"/>
      <c r="I1603" s="18"/>
      <c r="J1603" s="18"/>
      <c r="K1603" s="18"/>
      <c r="L1603" s="18"/>
      <c r="M1603" s="18"/>
      <c r="N1603" s="18"/>
      <c r="O1603" s="18"/>
    </row>
    <row r="1604" spans="7:15" x14ac:dyDescent="0.2">
      <c r="G1604" s="18"/>
      <c r="H1604" s="19"/>
      <c r="I1604" s="18"/>
      <c r="J1604" s="18"/>
      <c r="K1604" s="18"/>
      <c r="L1604" s="18"/>
      <c r="M1604" s="18"/>
      <c r="N1604" s="18"/>
      <c r="O1604" s="18"/>
    </row>
    <row r="1605" spans="7:15" x14ac:dyDescent="0.2">
      <c r="G1605" s="18"/>
      <c r="H1605" s="19"/>
      <c r="I1605" s="18"/>
      <c r="J1605" s="18"/>
      <c r="K1605" s="18"/>
      <c r="L1605" s="18"/>
      <c r="M1605" s="18"/>
      <c r="N1605" s="18"/>
      <c r="O1605" s="18"/>
    </row>
    <row r="1606" spans="7:15" x14ac:dyDescent="0.2">
      <c r="G1606" s="18"/>
      <c r="H1606" s="19"/>
      <c r="I1606" s="18"/>
      <c r="J1606" s="18"/>
      <c r="K1606" s="18"/>
      <c r="L1606" s="18"/>
      <c r="M1606" s="18"/>
      <c r="N1606" s="18"/>
      <c r="O1606" s="18"/>
    </row>
    <row r="1607" spans="7:15" x14ac:dyDescent="0.2">
      <c r="G1607" s="18"/>
      <c r="H1607" s="19"/>
      <c r="I1607" s="18"/>
      <c r="J1607" s="18"/>
      <c r="K1607" s="18"/>
      <c r="L1607" s="18"/>
      <c r="M1607" s="18"/>
      <c r="N1607" s="18"/>
      <c r="O1607" s="18"/>
    </row>
    <row r="1608" spans="7:15" x14ac:dyDescent="0.2">
      <c r="G1608" s="18"/>
      <c r="H1608" s="19"/>
      <c r="I1608" s="18"/>
      <c r="J1608" s="18"/>
      <c r="K1608" s="18"/>
      <c r="L1608" s="18"/>
      <c r="M1608" s="18"/>
      <c r="N1608" s="18"/>
      <c r="O1608" s="18"/>
    </row>
    <row r="1609" spans="7:15" x14ac:dyDescent="0.2">
      <c r="G1609" s="18"/>
      <c r="H1609" s="19"/>
      <c r="I1609" s="18"/>
      <c r="J1609" s="18"/>
      <c r="K1609" s="18"/>
      <c r="L1609" s="18"/>
      <c r="M1609" s="18"/>
      <c r="N1609" s="18"/>
      <c r="O1609" s="18"/>
    </row>
    <row r="1610" spans="7:15" x14ac:dyDescent="0.2">
      <c r="G1610" s="18"/>
      <c r="H1610" s="19"/>
      <c r="I1610" s="18"/>
      <c r="J1610" s="18"/>
      <c r="K1610" s="18"/>
      <c r="L1610" s="18"/>
      <c r="M1610" s="18"/>
      <c r="N1610" s="18"/>
      <c r="O1610" s="18"/>
    </row>
    <row r="1611" spans="7:15" x14ac:dyDescent="0.2">
      <c r="G1611" s="18"/>
      <c r="H1611" s="19"/>
      <c r="I1611" s="18"/>
      <c r="J1611" s="18"/>
      <c r="K1611" s="18"/>
      <c r="L1611" s="18"/>
      <c r="M1611" s="18"/>
      <c r="N1611" s="18"/>
      <c r="O1611" s="18"/>
    </row>
    <row r="1612" spans="7:15" x14ac:dyDescent="0.2">
      <c r="G1612" s="18"/>
      <c r="H1612" s="19"/>
      <c r="I1612" s="18"/>
      <c r="J1612" s="18"/>
      <c r="K1612" s="18"/>
      <c r="L1612" s="18"/>
      <c r="M1612" s="18"/>
      <c r="N1612" s="18"/>
      <c r="O1612" s="18"/>
    </row>
    <row r="1613" spans="7:15" x14ac:dyDescent="0.2">
      <c r="G1613" s="18"/>
      <c r="H1613" s="19"/>
      <c r="I1613" s="18"/>
      <c r="J1613" s="18"/>
      <c r="K1613" s="18"/>
      <c r="L1613" s="18"/>
      <c r="M1613" s="18"/>
      <c r="N1613" s="18"/>
      <c r="O1613" s="18"/>
    </row>
    <row r="1614" spans="7:15" x14ac:dyDescent="0.2">
      <c r="G1614" s="18"/>
      <c r="H1614" s="19"/>
      <c r="I1614" s="18"/>
      <c r="J1614" s="18"/>
      <c r="K1614" s="18"/>
      <c r="L1614" s="18"/>
      <c r="M1614" s="18"/>
      <c r="N1614" s="18"/>
      <c r="O1614" s="18"/>
    </row>
    <row r="1615" spans="7:15" x14ac:dyDescent="0.2">
      <c r="G1615" s="18"/>
      <c r="H1615" s="19"/>
      <c r="I1615" s="18"/>
      <c r="J1615" s="18"/>
      <c r="K1615" s="18"/>
      <c r="L1615" s="18"/>
      <c r="M1615" s="18"/>
      <c r="N1615" s="18"/>
      <c r="O1615" s="18"/>
    </row>
    <row r="1616" spans="7:15" x14ac:dyDescent="0.2">
      <c r="G1616" s="18"/>
      <c r="H1616" s="19"/>
      <c r="I1616" s="18"/>
      <c r="J1616" s="18"/>
      <c r="K1616" s="18"/>
      <c r="L1616" s="18"/>
      <c r="M1616" s="18"/>
      <c r="N1616" s="18"/>
      <c r="O1616" s="18"/>
    </row>
    <row r="1617" spans="7:15" x14ac:dyDescent="0.2">
      <c r="G1617" s="18"/>
      <c r="H1617" s="19"/>
      <c r="I1617" s="18"/>
      <c r="J1617" s="18"/>
      <c r="K1617" s="18"/>
      <c r="L1617" s="18"/>
      <c r="M1617" s="18"/>
      <c r="N1617" s="18"/>
      <c r="O1617" s="18"/>
    </row>
    <row r="1618" spans="7:15" x14ac:dyDescent="0.2">
      <c r="G1618" s="18"/>
      <c r="H1618" s="19"/>
      <c r="I1618" s="18"/>
      <c r="J1618" s="18"/>
      <c r="K1618" s="18"/>
      <c r="L1618" s="18"/>
      <c r="M1618" s="18"/>
      <c r="N1618" s="18"/>
      <c r="O1618" s="18"/>
    </row>
    <row r="1619" spans="7:15" x14ac:dyDescent="0.2">
      <c r="G1619" s="18"/>
      <c r="H1619" s="19"/>
      <c r="I1619" s="18"/>
      <c r="J1619" s="18"/>
      <c r="K1619" s="18"/>
      <c r="L1619" s="18"/>
      <c r="M1619" s="18"/>
      <c r="N1619" s="18"/>
      <c r="O1619" s="18"/>
    </row>
    <row r="1620" spans="7:15" x14ac:dyDescent="0.2">
      <c r="G1620" s="18"/>
      <c r="H1620" s="19"/>
      <c r="I1620" s="18"/>
      <c r="J1620" s="18"/>
      <c r="K1620" s="18"/>
      <c r="L1620" s="18"/>
      <c r="M1620" s="18"/>
      <c r="N1620" s="18"/>
      <c r="O1620" s="18"/>
    </row>
    <row r="1621" spans="7:15" x14ac:dyDescent="0.2">
      <c r="G1621" s="18"/>
      <c r="H1621" s="19"/>
      <c r="I1621" s="18"/>
      <c r="J1621" s="18"/>
      <c r="K1621" s="18"/>
      <c r="L1621" s="18"/>
      <c r="M1621" s="18"/>
      <c r="N1621" s="18"/>
      <c r="O1621" s="18"/>
    </row>
    <row r="1622" spans="7:15" x14ac:dyDescent="0.2">
      <c r="G1622" s="18"/>
      <c r="H1622" s="19"/>
      <c r="I1622" s="18"/>
      <c r="J1622" s="18"/>
      <c r="K1622" s="18"/>
      <c r="L1622" s="18"/>
      <c r="M1622" s="18"/>
      <c r="N1622" s="18"/>
      <c r="O1622" s="18"/>
    </row>
    <row r="1623" spans="7:15" x14ac:dyDescent="0.2">
      <c r="G1623" s="18"/>
      <c r="H1623" s="19"/>
      <c r="I1623" s="18"/>
      <c r="J1623" s="18"/>
      <c r="K1623" s="18"/>
      <c r="L1623" s="18"/>
      <c r="M1623" s="18"/>
      <c r="N1623" s="18"/>
      <c r="O1623" s="18"/>
    </row>
    <row r="1624" spans="7:15" x14ac:dyDescent="0.2">
      <c r="G1624" s="18"/>
      <c r="H1624" s="19"/>
      <c r="I1624" s="18"/>
      <c r="J1624" s="18"/>
      <c r="K1624" s="18"/>
      <c r="L1624" s="18"/>
      <c r="M1624" s="18"/>
      <c r="N1624" s="18"/>
      <c r="O1624" s="18"/>
    </row>
    <row r="1625" spans="7:15" x14ac:dyDescent="0.2">
      <c r="G1625" s="18"/>
      <c r="H1625" s="19"/>
      <c r="I1625" s="18"/>
      <c r="J1625" s="18"/>
      <c r="K1625" s="18"/>
      <c r="L1625" s="18"/>
      <c r="M1625" s="18"/>
      <c r="N1625" s="18"/>
      <c r="O1625" s="18"/>
    </row>
    <row r="1626" spans="7:15" x14ac:dyDescent="0.2">
      <c r="G1626" s="18"/>
      <c r="H1626" s="19"/>
      <c r="I1626" s="18"/>
      <c r="J1626" s="18"/>
      <c r="K1626" s="18"/>
      <c r="L1626" s="18"/>
      <c r="M1626" s="18"/>
      <c r="N1626" s="18"/>
      <c r="O1626" s="18"/>
    </row>
    <row r="1627" spans="7:15" x14ac:dyDescent="0.2">
      <c r="G1627" s="18"/>
      <c r="H1627" s="19"/>
      <c r="I1627" s="18"/>
      <c r="J1627" s="18"/>
      <c r="K1627" s="18"/>
      <c r="L1627" s="18"/>
      <c r="M1627" s="18"/>
      <c r="N1627" s="18"/>
      <c r="O1627" s="18"/>
    </row>
    <row r="1628" spans="7:15" x14ac:dyDescent="0.2">
      <c r="G1628" s="18"/>
      <c r="H1628" s="19"/>
      <c r="I1628" s="18"/>
      <c r="J1628" s="18"/>
      <c r="K1628" s="18"/>
      <c r="L1628" s="18"/>
      <c r="M1628" s="18"/>
      <c r="N1628" s="18"/>
      <c r="O1628" s="18"/>
    </row>
    <row r="1629" spans="7:15" x14ac:dyDescent="0.2">
      <c r="G1629" s="18"/>
      <c r="H1629" s="19"/>
      <c r="I1629" s="18"/>
      <c r="J1629" s="18"/>
      <c r="K1629" s="18"/>
      <c r="L1629" s="18"/>
      <c r="M1629" s="18"/>
      <c r="N1629" s="18"/>
      <c r="O1629" s="18"/>
    </row>
    <row r="1630" spans="7:15" x14ac:dyDescent="0.2">
      <c r="G1630" s="18"/>
      <c r="H1630" s="19"/>
      <c r="I1630" s="18"/>
      <c r="J1630" s="18"/>
      <c r="K1630" s="18"/>
      <c r="L1630" s="18"/>
      <c r="M1630" s="18"/>
      <c r="N1630" s="18"/>
      <c r="O1630" s="18"/>
    </row>
    <row r="1631" spans="7:15" x14ac:dyDescent="0.2">
      <c r="G1631" s="18"/>
      <c r="H1631" s="19"/>
      <c r="I1631" s="18"/>
      <c r="J1631" s="18"/>
      <c r="K1631" s="18"/>
      <c r="L1631" s="18"/>
      <c r="M1631" s="18"/>
      <c r="N1631" s="18"/>
      <c r="O1631" s="18"/>
    </row>
    <row r="1632" spans="7:15" x14ac:dyDescent="0.2">
      <c r="G1632" s="18"/>
      <c r="H1632" s="19"/>
      <c r="I1632" s="18"/>
      <c r="J1632" s="18"/>
      <c r="K1632" s="18"/>
      <c r="L1632" s="18"/>
      <c r="M1632" s="18"/>
      <c r="N1632" s="18"/>
      <c r="O1632" s="18"/>
    </row>
    <row r="1633" spans="7:15" x14ac:dyDescent="0.2">
      <c r="G1633" s="18"/>
      <c r="H1633" s="19"/>
      <c r="I1633" s="18"/>
      <c r="J1633" s="18"/>
      <c r="K1633" s="18"/>
      <c r="L1633" s="18"/>
      <c r="M1633" s="18"/>
      <c r="N1633" s="18"/>
      <c r="O1633" s="18"/>
    </row>
    <row r="1634" spans="7:15" x14ac:dyDescent="0.2">
      <c r="G1634" s="18"/>
      <c r="H1634" s="19"/>
      <c r="I1634" s="18"/>
      <c r="J1634" s="18"/>
      <c r="K1634" s="18"/>
      <c r="L1634" s="18"/>
      <c r="M1634" s="18"/>
      <c r="N1634" s="18"/>
      <c r="O1634" s="18"/>
    </row>
    <row r="1635" spans="7:15" x14ac:dyDescent="0.2">
      <c r="G1635" s="18"/>
      <c r="H1635" s="19"/>
      <c r="I1635" s="18"/>
      <c r="J1635" s="18"/>
      <c r="K1635" s="18"/>
      <c r="L1635" s="18"/>
      <c r="M1635" s="18"/>
      <c r="N1635" s="18"/>
      <c r="O1635" s="18"/>
    </row>
    <row r="1636" spans="7:15" x14ac:dyDescent="0.2">
      <c r="G1636" s="18"/>
      <c r="H1636" s="19"/>
      <c r="I1636" s="18"/>
      <c r="J1636" s="18"/>
      <c r="K1636" s="18"/>
      <c r="L1636" s="18"/>
      <c r="M1636" s="18"/>
      <c r="N1636" s="18"/>
      <c r="O1636" s="18"/>
    </row>
    <row r="1637" spans="7:15" x14ac:dyDescent="0.2">
      <c r="G1637" s="18"/>
      <c r="H1637" s="19"/>
      <c r="I1637" s="18"/>
      <c r="J1637" s="18"/>
      <c r="K1637" s="18"/>
      <c r="L1637" s="18"/>
      <c r="M1637" s="18"/>
      <c r="N1637" s="18"/>
      <c r="O1637" s="18"/>
    </row>
    <row r="1638" spans="7:15" x14ac:dyDescent="0.2">
      <c r="G1638" s="18"/>
      <c r="H1638" s="19"/>
      <c r="I1638" s="18"/>
      <c r="J1638" s="18"/>
      <c r="K1638" s="18"/>
      <c r="L1638" s="18"/>
      <c r="M1638" s="18"/>
      <c r="N1638" s="18"/>
      <c r="O1638" s="18"/>
    </row>
    <row r="1639" spans="7:15" x14ac:dyDescent="0.2">
      <c r="G1639" s="18"/>
      <c r="H1639" s="19"/>
      <c r="I1639" s="18"/>
      <c r="J1639" s="18"/>
      <c r="K1639" s="18"/>
      <c r="L1639" s="18"/>
      <c r="M1639" s="18"/>
      <c r="N1639" s="18"/>
      <c r="O1639" s="18"/>
    </row>
    <row r="1640" spans="7:15" x14ac:dyDescent="0.2">
      <c r="G1640" s="18"/>
      <c r="H1640" s="19"/>
      <c r="I1640" s="18"/>
      <c r="J1640" s="18"/>
      <c r="K1640" s="18"/>
      <c r="L1640" s="18"/>
      <c r="M1640" s="18"/>
      <c r="N1640" s="18"/>
      <c r="O1640" s="18"/>
    </row>
    <row r="1641" spans="7:15" x14ac:dyDescent="0.2">
      <c r="G1641" s="18"/>
      <c r="H1641" s="19"/>
      <c r="I1641" s="18"/>
      <c r="J1641" s="18"/>
      <c r="K1641" s="18"/>
      <c r="L1641" s="18"/>
      <c r="M1641" s="18"/>
      <c r="N1641" s="18"/>
      <c r="O1641" s="18"/>
    </row>
    <row r="1642" spans="7:15" x14ac:dyDescent="0.2">
      <c r="G1642" s="18"/>
      <c r="H1642" s="19"/>
      <c r="I1642" s="18"/>
      <c r="J1642" s="18"/>
      <c r="K1642" s="18"/>
      <c r="L1642" s="18"/>
      <c r="M1642" s="18"/>
      <c r="N1642" s="18"/>
      <c r="O1642" s="18"/>
    </row>
    <row r="1643" spans="7:15" x14ac:dyDescent="0.2">
      <c r="G1643" s="18"/>
      <c r="H1643" s="19"/>
      <c r="I1643" s="18"/>
      <c r="J1643" s="18"/>
      <c r="K1643" s="18"/>
      <c r="L1643" s="18"/>
      <c r="M1643" s="18"/>
      <c r="N1643" s="18"/>
      <c r="O1643" s="18"/>
    </row>
    <row r="1644" spans="7:15" x14ac:dyDescent="0.2">
      <c r="G1644" s="18"/>
      <c r="H1644" s="19"/>
      <c r="I1644" s="18"/>
      <c r="J1644" s="18"/>
      <c r="K1644" s="18"/>
      <c r="L1644" s="18"/>
      <c r="M1644" s="18"/>
      <c r="N1644" s="18"/>
      <c r="O1644" s="18"/>
    </row>
    <row r="1645" spans="7:15" x14ac:dyDescent="0.2">
      <c r="G1645" s="18"/>
      <c r="H1645" s="19"/>
      <c r="I1645" s="18"/>
      <c r="J1645" s="18"/>
      <c r="K1645" s="18"/>
      <c r="L1645" s="18"/>
      <c r="M1645" s="18"/>
      <c r="N1645" s="18"/>
      <c r="O1645" s="18"/>
    </row>
    <row r="1646" spans="7:15" x14ac:dyDescent="0.2">
      <c r="G1646" s="18"/>
      <c r="H1646" s="19"/>
      <c r="I1646" s="18"/>
      <c r="J1646" s="18"/>
      <c r="K1646" s="18"/>
      <c r="L1646" s="18"/>
      <c r="M1646" s="18"/>
      <c r="N1646" s="18"/>
      <c r="O1646" s="18"/>
    </row>
    <row r="1647" spans="7:15" x14ac:dyDescent="0.2">
      <c r="G1647" s="18"/>
      <c r="H1647" s="19"/>
      <c r="I1647" s="18"/>
      <c r="J1647" s="18"/>
      <c r="K1647" s="18"/>
      <c r="L1647" s="18"/>
      <c r="M1647" s="18"/>
      <c r="N1647" s="18"/>
      <c r="O1647" s="18"/>
    </row>
    <row r="1648" spans="7:15" x14ac:dyDescent="0.2">
      <c r="G1648" s="18"/>
      <c r="H1648" s="19"/>
      <c r="I1648" s="18"/>
      <c r="J1648" s="18"/>
      <c r="K1648" s="18"/>
      <c r="L1648" s="18"/>
      <c r="M1648" s="18"/>
      <c r="N1648" s="18"/>
      <c r="O1648" s="18"/>
    </row>
    <row r="1649" spans="7:15" x14ac:dyDescent="0.2">
      <c r="G1649" s="18"/>
      <c r="H1649" s="19"/>
      <c r="I1649" s="18"/>
      <c r="J1649" s="18"/>
      <c r="K1649" s="18"/>
      <c r="L1649" s="18"/>
      <c r="M1649" s="18"/>
      <c r="N1649" s="18"/>
      <c r="O1649" s="18"/>
    </row>
    <row r="1650" spans="7:15" x14ac:dyDescent="0.2">
      <c r="G1650" s="18"/>
      <c r="H1650" s="19"/>
      <c r="I1650" s="18"/>
      <c r="J1650" s="18"/>
      <c r="K1650" s="18"/>
      <c r="L1650" s="18"/>
      <c r="M1650" s="18"/>
      <c r="N1650" s="18"/>
      <c r="O1650" s="18"/>
    </row>
    <row r="1651" spans="7:15" x14ac:dyDescent="0.2">
      <c r="G1651" s="18"/>
      <c r="H1651" s="19"/>
      <c r="I1651" s="18"/>
      <c r="J1651" s="18"/>
      <c r="K1651" s="18"/>
      <c r="L1651" s="18"/>
      <c r="M1651" s="18"/>
      <c r="N1651" s="18"/>
      <c r="O1651" s="18"/>
    </row>
    <row r="1652" spans="7:15" x14ac:dyDescent="0.2">
      <c r="G1652" s="18"/>
      <c r="H1652" s="19"/>
      <c r="I1652" s="18"/>
      <c r="J1652" s="18"/>
      <c r="K1652" s="18"/>
      <c r="L1652" s="18"/>
      <c r="M1652" s="18"/>
      <c r="N1652" s="18"/>
      <c r="O1652" s="18"/>
    </row>
    <row r="1653" spans="7:15" x14ac:dyDescent="0.2">
      <c r="G1653" s="18"/>
      <c r="H1653" s="19"/>
      <c r="I1653" s="18"/>
      <c r="J1653" s="18"/>
      <c r="K1653" s="18"/>
      <c r="L1653" s="18"/>
      <c r="M1653" s="18"/>
      <c r="N1653" s="18"/>
      <c r="O1653" s="18"/>
    </row>
    <row r="1654" spans="7:15" x14ac:dyDescent="0.2">
      <c r="G1654" s="18"/>
      <c r="H1654" s="19"/>
      <c r="I1654" s="18"/>
      <c r="J1654" s="18"/>
      <c r="K1654" s="18"/>
      <c r="L1654" s="18"/>
      <c r="M1654" s="18"/>
      <c r="N1654" s="18"/>
      <c r="O1654" s="18"/>
    </row>
    <row r="1655" spans="7:15" x14ac:dyDescent="0.2">
      <c r="G1655" s="18"/>
      <c r="H1655" s="19"/>
      <c r="I1655" s="18"/>
      <c r="J1655" s="18"/>
      <c r="K1655" s="18"/>
      <c r="L1655" s="18"/>
      <c r="M1655" s="18"/>
      <c r="N1655" s="18"/>
      <c r="O1655" s="18"/>
    </row>
    <row r="1656" spans="7:15" x14ac:dyDescent="0.2">
      <c r="G1656" s="18"/>
      <c r="H1656" s="19"/>
      <c r="I1656" s="18"/>
      <c r="J1656" s="18"/>
      <c r="K1656" s="18"/>
      <c r="L1656" s="18"/>
      <c r="M1656" s="18"/>
      <c r="N1656" s="18"/>
      <c r="O1656" s="18"/>
    </row>
    <row r="1657" spans="7:15" x14ac:dyDescent="0.2">
      <c r="G1657" s="18"/>
      <c r="H1657" s="19"/>
      <c r="I1657" s="18"/>
      <c r="J1657" s="18"/>
      <c r="K1657" s="18"/>
      <c r="L1657" s="18"/>
      <c r="M1657" s="18"/>
      <c r="N1657" s="18"/>
      <c r="O1657" s="18"/>
    </row>
    <row r="1658" spans="7:15" x14ac:dyDescent="0.2">
      <c r="G1658" s="18"/>
      <c r="H1658" s="19"/>
      <c r="I1658" s="18"/>
      <c r="J1658" s="18"/>
      <c r="K1658" s="18"/>
      <c r="L1658" s="18"/>
      <c r="M1658" s="18"/>
      <c r="N1658" s="18"/>
      <c r="O1658" s="18"/>
    </row>
    <row r="1659" spans="7:15" x14ac:dyDescent="0.2">
      <c r="G1659" s="18"/>
      <c r="H1659" s="19"/>
      <c r="I1659" s="18"/>
      <c r="J1659" s="18"/>
      <c r="K1659" s="18"/>
      <c r="L1659" s="18"/>
      <c r="M1659" s="18"/>
      <c r="N1659" s="18"/>
      <c r="O1659" s="18"/>
    </row>
    <row r="1660" spans="7:15" x14ac:dyDescent="0.2">
      <c r="G1660" s="18"/>
      <c r="H1660" s="19"/>
      <c r="I1660" s="18"/>
      <c r="J1660" s="18"/>
      <c r="K1660" s="18"/>
      <c r="L1660" s="18"/>
      <c r="M1660" s="18"/>
      <c r="N1660" s="18"/>
      <c r="O1660" s="18"/>
    </row>
    <row r="1661" spans="7:15" x14ac:dyDescent="0.2">
      <c r="G1661" s="18"/>
      <c r="H1661" s="19"/>
      <c r="I1661" s="18"/>
      <c r="J1661" s="18"/>
      <c r="K1661" s="18"/>
      <c r="L1661" s="18"/>
      <c r="M1661" s="18"/>
      <c r="N1661" s="18"/>
      <c r="O1661" s="18"/>
    </row>
    <row r="1662" spans="7:15" x14ac:dyDescent="0.2">
      <c r="G1662" s="18"/>
      <c r="H1662" s="19"/>
      <c r="I1662" s="18"/>
      <c r="J1662" s="18"/>
      <c r="K1662" s="18"/>
      <c r="L1662" s="18"/>
      <c r="M1662" s="18"/>
      <c r="N1662" s="18"/>
      <c r="O1662" s="18"/>
    </row>
    <row r="1663" spans="7:15" x14ac:dyDescent="0.2">
      <c r="G1663" s="18"/>
      <c r="H1663" s="19"/>
      <c r="I1663" s="18"/>
      <c r="J1663" s="18"/>
      <c r="K1663" s="18"/>
      <c r="L1663" s="18"/>
      <c r="M1663" s="18"/>
      <c r="N1663" s="18"/>
      <c r="O1663" s="18"/>
    </row>
    <row r="1664" spans="7:15" x14ac:dyDescent="0.2">
      <c r="G1664" s="18"/>
      <c r="H1664" s="19"/>
      <c r="I1664" s="18"/>
      <c r="J1664" s="18"/>
      <c r="K1664" s="18"/>
      <c r="L1664" s="18"/>
      <c r="M1664" s="18"/>
      <c r="N1664" s="18"/>
      <c r="O1664" s="18"/>
    </row>
    <row r="1665" spans="7:15" x14ac:dyDescent="0.2">
      <c r="G1665" s="18"/>
      <c r="H1665" s="19"/>
      <c r="I1665" s="18"/>
      <c r="J1665" s="18"/>
      <c r="K1665" s="18"/>
      <c r="L1665" s="18"/>
      <c r="M1665" s="18"/>
      <c r="N1665" s="18"/>
      <c r="O1665" s="18"/>
    </row>
    <row r="1666" spans="7:15" x14ac:dyDescent="0.2">
      <c r="G1666" s="18"/>
      <c r="H1666" s="19"/>
      <c r="I1666" s="18"/>
      <c r="J1666" s="18"/>
      <c r="K1666" s="18"/>
      <c r="L1666" s="18"/>
      <c r="M1666" s="18"/>
      <c r="N1666" s="18"/>
      <c r="O1666" s="18"/>
    </row>
    <row r="1667" spans="7:15" x14ac:dyDescent="0.2">
      <c r="G1667" s="18"/>
      <c r="H1667" s="19"/>
      <c r="I1667" s="18"/>
      <c r="J1667" s="18"/>
      <c r="K1667" s="18"/>
      <c r="L1667" s="18"/>
      <c r="M1667" s="18"/>
      <c r="N1667" s="18"/>
      <c r="O1667" s="18"/>
    </row>
    <row r="1668" spans="7:15" x14ac:dyDescent="0.2">
      <c r="G1668" s="18"/>
      <c r="H1668" s="19"/>
      <c r="I1668" s="18"/>
      <c r="J1668" s="18"/>
      <c r="K1668" s="18"/>
      <c r="L1668" s="18"/>
      <c r="M1668" s="18"/>
      <c r="N1668" s="18"/>
      <c r="O1668" s="18"/>
    </row>
    <row r="1669" spans="7:15" x14ac:dyDescent="0.2">
      <c r="G1669" s="18"/>
      <c r="H1669" s="19"/>
      <c r="I1669" s="18"/>
      <c r="J1669" s="18"/>
      <c r="K1669" s="18"/>
      <c r="L1669" s="18"/>
      <c r="M1669" s="18"/>
      <c r="N1669" s="18"/>
      <c r="O1669" s="18"/>
    </row>
    <row r="1670" spans="7:15" x14ac:dyDescent="0.2">
      <c r="G1670" s="18"/>
      <c r="H1670" s="19"/>
      <c r="I1670" s="18"/>
      <c r="J1670" s="18"/>
      <c r="K1670" s="18"/>
      <c r="L1670" s="18"/>
      <c r="M1670" s="18"/>
      <c r="N1670" s="18"/>
      <c r="O1670" s="18"/>
    </row>
    <row r="1671" spans="7:15" x14ac:dyDescent="0.2">
      <c r="G1671" s="18"/>
      <c r="H1671" s="19"/>
      <c r="I1671" s="18"/>
      <c r="J1671" s="18"/>
      <c r="K1671" s="18"/>
      <c r="L1671" s="18"/>
      <c r="M1671" s="18"/>
      <c r="N1671" s="18"/>
      <c r="O1671" s="18"/>
    </row>
    <row r="1672" spans="7:15" x14ac:dyDescent="0.2">
      <c r="G1672" s="18"/>
      <c r="H1672" s="19"/>
      <c r="I1672" s="18"/>
      <c r="J1672" s="18"/>
      <c r="K1672" s="18"/>
      <c r="L1672" s="18"/>
      <c r="M1672" s="18"/>
      <c r="N1672" s="18"/>
      <c r="O1672" s="18"/>
    </row>
    <row r="1673" spans="7:15" x14ac:dyDescent="0.2">
      <c r="G1673" s="18"/>
      <c r="H1673" s="19"/>
      <c r="I1673" s="18"/>
      <c r="J1673" s="18"/>
      <c r="K1673" s="18"/>
      <c r="L1673" s="18"/>
      <c r="M1673" s="18"/>
      <c r="N1673" s="18"/>
      <c r="O1673" s="18"/>
    </row>
    <row r="1674" spans="7:15" x14ac:dyDescent="0.2">
      <c r="G1674" s="18"/>
      <c r="H1674" s="19"/>
      <c r="I1674" s="18"/>
      <c r="J1674" s="18"/>
      <c r="K1674" s="18"/>
      <c r="L1674" s="18"/>
      <c r="M1674" s="18"/>
      <c r="N1674" s="18"/>
      <c r="O1674" s="18"/>
    </row>
    <row r="1675" spans="7:15" x14ac:dyDescent="0.2">
      <c r="G1675" s="18"/>
      <c r="H1675" s="19"/>
      <c r="I1675" s="18"/>
      <c r="J1675" s="18"/>
      <c r="K1675" s="18"/>
      <c r="L1675" s="18"/>
      <c r="M1675" s="18"/>
      <c r="N1675" s="18"/>
      <c r="O1675" s="18"/>
    </row>
    <row r="1676" spans="7:15" x14ac:dyDescent="0.2">
      <c r="G1676" s="18"/>
      <c r="H1676" s="19"/>
      <c r="I1676" s="18"/>
      <c r="J1676" s="18"/>
      <c r="K1676" s="18"/>
      <c r="L1676" s="18"/>
      <c r="M1676" s="18"/>
      <c r="N1676" s="18"/>
      <c r="O1676" s="18"/>
    </row>
    <row r="1677" spans="7:15" x14ac:dyDescent="0.2">
      <c r="G1677" s="18"/>
      <c r="H1677" s="19"/>
      <c r="I1677" s="18"/>
      <c r="J1677" s="18"/>
      <c r="K1677" s="18"/>
      <c r="L1677" s="18"/>
      <c r="M1677" s="18"/>
      <c r="N1677" s="18"/>
      <c r="O1677" s="18"/>
    </row>
    <row r="1678" spans="7:15" x14ac:dyDescent="0.2">
      <c r="G1678" s="18"/>
      <c r="H1678" s="19"/>
      <c r="I1678" s="18"/>
      <c r="J1678" s="18"/>
      <c r="K1678" s="18"/>
      <c r="L1678" s="18"/>
      <c r="M1678" s="18"/>
      <c r="N1678" s="18"/>
      <c r="O1678" s="18"/>
    </row>
    <row r="1679" spans="7:15" x14ac:dyDescent="0.2">
      <c r="G1679" s="18"/>
      <c r="H1679" s="19"/>
      <c r="I1679" s="18"/>
      <c r="J1679" s="18"/>
      <c r="K1679" s="18"/>
      <c r="L1679" s="18"/>
      <c r="M1679" s="18"/>
      <c r="N1679" s="18"/>
      <c r="O1679" s="18"/>
    </row>
    <row r="1680" spans="7:15" x14ac:dyDescent="0.2">
      <c r="G1680" s="18"/>
      <c r="H1680" s="19"/>
      <c r="I1680" s="18"/>
      <c r="J1680" s="18"/>
      <c r="K1680" s="18"/>
      <c r="L1680" s="18"/>
      <c r="M1680" s="18"/>
      <c r="N1680" s="18"/>
      <c r="O1680" s="18"/>
    </row>
    <row r="1681" spans="7:15" x14ac:dyDescent="0.2">
      <c r="G1681" s="18"/>
      <c r="H1681" s="19"/>
      <c r="I1681" s="18"/>
      <c r="J1681" s="18"/>
      <c r="K1681" s="18"/>
      <c r="L1681" s="18"/>
      <c r="M1681" s="18"/>
      <c r="N1681" s="18"/>
      <c r="O1681" s="18"/>
    </row>
    <row r="1682" spans="7:15" x14ac:dyDescent="0.2">
      <c r="G1682" s="18"/>
      <c r="H1682" s="19"/>
      <c r="I1682" s="18"/>
      <c r="J1682" s="18"/>
      <c r="K1682" s="18"/>
      <c r="L1682" s="18"/>
      <c r="M1682" s="18"/>
      <c r="N1682" s="18"/>
      <c r="O1682" s="18"/>
    </row>
    <row r="1683" spans="7:15" x14ac:dyDescent="0.2">
      <c r="G1683" s="18"/>
      <c r="H1683" s="19"/>
      <c r="I1683" s="18"/>
      <c r="J1683" s="18"/>
      <c r="K1683" s="18"/>
      <c r="L1683" s="18"/>
      <c r="M1683" s="18"/>
      <c r="N1683" s="18"/>
      <c r="O1683" s="18"/>
    </row>
    <row r="1684" spans="7:15" x14ac:dyDescent="0.2">
      <c r="G1684" s="18"/>
      <c r="H1684" s="19"/>
      <c r="I1684" s="18"/>
      <c r="J1684" s="18"/>
      <c r="K1684" s="18"/>
      <c r="L1684" s="18"/>
      <c r="M1684" s="18"/>
      <c r="N1684" s="18"/>
      <c r="O1684" s="18"/>
    </row>
    <row r="1685" spans="7:15" x14ac:dyDescent="0.2">
      <c r="G1685" s="18"/>
      <c r="H1685" s="19"/>
      <c r="I1685" s="18"/>
      <c r="J1685" s="18"/>
      <c r="K1685" s="18"/>
      <c r="L1685" s="18"/>
      <c r="M1685" s="18"/>
      <c r="N1685" s="18"/>
      <c r="O1685" s="18"/>
    </row>
    <row r="1686" spans="7:15" x14ac:dyDescent="0.2">
      <c r="G1686" s="18"/>
      <c r="H1686" s="19"/>
      <c r="I1686" s="18"/>
      <c r="J1686" s="18"/>
      <c r="K1686" s="18"/>
      <c r="L1686" s="18"/>
      <c r="M1686" s="18"/>
      <c r="N1686" s="18"/>
      <c r="O1686" s="18"/>
    </row>
    <row r="1687" spans="7:15" x14ac:dyDescent="0.2">
      <c r="G1687" s="18"/>
      <c r="H1687" s="19"/>
      <c r="I1687" s="18"/>
      <c r="J1687" s="18"/>
      <c r="K1687" s="18"/>
      <c r="L1687" s="18"/>
      <c r="M1687" s="18"/>
      <c r="N1687" s="18"/>
      <c r="O1687" s="18"/>
    </row>
    <row r="1688" spans="7:15" x14ac:dyDescent="0.2">
      <c r="G1688" s="18"/>
      <c r="H1688" s="19"/>
      <c r="I1688" s="18"/>
      <c r="J1688" s="18"/>
      <c r="K1688" s="18"/>
      <c r="L1688" s="18"/>
      <c r="M1688" s="18"/>
      <c r="N1688" s="18"/>
      <c r="O1688" s="18"/>
    </row>
    <row r="1689" spans="7:15" x14ac:dyDescent="0.2">
      <c r="G1689" s="18"/>
      <c r="H1689" s="19"/>
      <c r="I1689" s="18"/>
      <c r="J1689" s="18"/>
      <c r="K1689" s="18"/>
      <c r="L1689" s="18"/>
      <c r="M1689" s="18"/>
      <c r="N1689" s="18"/>
      <c r="O1689" s="18"/>
    </row>
    <row r="1690" spans="7:15" x14ac:dyDescent="0.2">
      <c r="G1690" s="18"/>
      <c r="H1690" s="19"/>
      <c r="I1690" s="18"/>
      <c r="J1690" s="18"/>
      <c r="K1690" s="18"/>
      <c r="L1690" s="18"/>
      <c r="M1690" s="18"/>
      <c r="N1690" s="18"/>
      <c r="O1690" s="18"/>
    </row>
    <row r="1691" spans="7:15" x14ac:dyDescent="0.2">
      <c r="G1691" s="18"/>
      <c r="H1691" s="19"/>
      <c r="I1691" s="18"/>
      <c r="J1691" s="18"/>
      <c r="K1691" s="18"/>
      <c r="L1691" s="18"/>
      <c r="M1691" s="18"/>
      <c r="N1691" s="18"/>
      <c r="O1691" s="18"/>
    </row>
    <row r="1692" spans="7:15" x14ac:dyDescent="0.2">
      <c r="G1692" s="18"/>
      <c r="H1692" s="19"/>
      <c r="I1692" s="18"/>
      <c r="J1692" s="18"/>
      <c r="K1692" s="18"/>
      <c r="L1692" s="18"/>
      <c r="M1692" s="18"/>
      <c r="N1692" s="18"/>
      <c r="O1692" s="18"/>
    </row>
    <row r="1693" spans="7:15" x14ac:dyDescent="0.2">
      <c r="G1693" s="18"/>
      <c r="H1693" s="19"/>
      <c r="I1693" s="18"/>
      <c r="J1693" s="18"/>
      <c r="K1693" s="18"/>
      <c r="L1693" s="18"/>
      <c r="M1693" s="18"/>
      <c r="N1693" s="18"/>
      <c r="O1693" s="18"/>
    </row>
    <row r="1694" spans="7:15" x14ac:dyDescent="0.2">
      <c r="G1694" s="18"/>
      <c r="H1694" s="18"/>
      <c r="I1694" s="18"/>
      <c r="J1694" s="18"/>
      <c r="K1694" s="18"/>
      <c r="L1694" s="18"/>
      <c r="M1694" s="18"/>
      <c r="N1694" s="18"/>
      <c r="O1694" s="18"/>
    </row>
    <row r="1695" spans="7:15" x14ac:dyDescent="0.2">
      <c r="G1695" s="18"/>
      <c r="H1695" s="18"/>
      <c r="I1695" s="18"/>
      <c r="J1695" s="18"/>
      <c r="K1695" s="18"/>
      <c r="L1695" s="18"/>
      <c r="M1695" s="18"/>
      <c r="N1695" s="18"/>
      <c r="O1695" s="18"/>
    </row>
    <row r="1696" spans="7:15" x14ac:dyDescent="0.2">
      <c r="G1696" s="18"/>
      <c r="H1696" s="18"/>
      <c r="I1696" s="18"/>
      <c r="J1696" s="18"/>
      <c r="K1696" s="18"/>
      <c r="L1696" s="18"/>
      <c r="M1696" s="18"/>
      <c r="N1696" s="18"/>
      <c r="O1696" s="18"/>
    </row>
    <row r="1697" spans="7:15" x14ac:dyDescent="0.2">
      <c r="G1697" s="18"/>
      <c r="H1697" s="18"/>
      <c r="I1697" s="18"/>
      <c r="J1697" s="18"/>
      <c r="K1697" s="18"/>
      <c r="L1697" s="18"/>
      <c r="M1697" s="18"/>
      <c r="N1697" s="18"/>
      <c r="O1697" s="18"/>
    </row>
    <row r="1698" spans="7:15" x14ac:dyDescent="0.2">
      <c r="G1698" s="18"/>
      <c r="H1698" s="18"/>
      <c r="I1698" s="18"/>
      <c r="J1698" s="18"/>
      <c r="K1698" s="18"/>
      <c r="L1698" s="18"/>
      <c r="M1698" s="18"/>
      <c r="N1698" s="18"/>
      <c r="O1698" s="18"/>
    </row>
    <row r="1699" spans="7:15" x14ac:dyDescent="0.2">
      <c r="G1699" s="18"/>
      <c r="H1699" s="18"/>
      <c r="I1699" s="18"/>
      <c r="J1699" s="18"/>
      <c r="K1699" s="18"/>
      <c r="L1699" s="18"/>
      <c r="M1699" s="18"/>
      <c r="N1699" s="18"/>
      <c r="O1699" s="18"/>
    </row>
    <row r="1700" spans="7:15" x14ac:dyDescent="0.2">
      <c r="G1700" s="18"/>
      <c r="H1700" s="18"/>
      <c r="I1700" s="18"/>
      <c r="J1700" s="18"/>
      <c r="K1700" s="18"/>
      <c r="L1700" s="18"/>
      <c r="M1700" s="18"/>
      <c r="N1700" s="18"/>
      <c r="O1700" s="18"/>
    </row>
    <row r="1701" spans="7:15" x14ac:dyDescent="0.2">
      <c r="G1701" s="18"/>
      <c r="H1701" s="18"/>
      <c r="I1701" s="18"/>
      <c r="J1701" s="18"/>
      <c r="K1701" s="18"/>
      <c r="L1701" s="18"/>
      <c r="M1701" s="18"/>
      <c r="N1701" s="18"/>
      <c r="O1701" s="18"/>
    </row>
    <row r="1702" spans="7:15" x14ac:dyDescent="0.2">
      <c r="G1702" s="18"/>
      <c r="H1702" s="18"/>
      <c r="I1702" s="18"/>
      <c r="J1702" s="18"/>
      <c r="K1702" s="18"/>
      <c r="L1702" s="18"/>
      <c r="M1702" s="18"/>
      <c r="N1702" s="18"/>
      <c r="O1702" s="18"/>
    </row>
    <row r="1703" spans="7:15" x14ac:dyDescent="0.2">
      <c r="G1703" s="18"/>
      <c r="H1703" s="18"/>
      <c r="I1703" s="18"/>
      <c r="J1703" s="18"/>
      <c r="K1703" s="18"/>
      <c r="L1703" s="18"/>
      <c r="M1703" s="18"/>
      <c r="N1703" s="18"/>
      <c r="O1703" s="18"/>
    </row>
    <row r="1704" spans="7:15" x14ac:dyDescent="0.2">
      <c r="G1704" s="18"/>
      <c r="H1704" s="18"/>
      <c r="I1704" s="18"/>
      <c r="J1704" s="18"/>
      <c r="K1704" s="18"/>
      <c r="L1704" s="18"/>
      <c r="M1704" s="18"/>
      <c r="N1704" s="18"/>
      <c r="O1704" s="18"/>
    </row>
    <row r="1705" spans="7:15" x14ac:dyDescent="0.2">
      <c r="G1705" s="18"/>
      <c r="H1705" s="18"/>
      <c r="I1705" s="18"/>
      <c r="J1705" s="18"/>
      <c r="K1705" s="18"/>
      <c r="L1705" s="18"/>
      <c r="M1705" s="18"/>
      <c r="N1705" s="18"/>
      <c r="O1705" s="18"/>
    </row>
    <row r="1706" spans="7:15" x14ac:dyDescent="0.2">
      <c r="G1706" s="18"/>
      <c r="H1706" s="18"/>
      <c r="I1706" s="18"/>
      <c r="J1706" s="18"/>
      <c r="K1706" s="18"/>
      <c r="L1706" s="18"/>
      <c r="M1706" s="18"/>
      <c r="N1706" s="18"/>
      <c r="O1706" s="18"/>
    </row>
    <row r="1707" spans="7:15" x14ac:dyDescent="0.2">
      <c r="G1707" s="18"/>
      <c r="H1707" s="18"/>
      <c r="I1707" s="18"/>
      <c r="J1707" s="18"/>
      <c r="K1707" s="18"/>
      <c r="L1707" s="18"/>
      <c r="M1707" s="18"/>
      <c r="N1707" s="18"/>
      <c r="O1707" s="18"/>
    </row>
    <row r="1708" spans="7:15" x14ac:dyDescent="0.2">
      <c r="G1708" s="18"/>
      <c r="H1708" s="18"/>
      <c r="I1708" s="18"/>
      <c r="J1708" s="18"/>
      <c r="K1708" s="18"/>
      <c r="L1708" s="18"/>
      <c r="M1708" s="18"/>
      <c r="N1708" s="18"/>
      <c r="O1708" s="18"/>
    </row>
    <row r="1709" spans="7:15" x14ac:dyDescent="0.2">
      <c r="G1709" s="18"/>
      <c r="H1709" s="18"/>
      <c r="I1709" s="18"/>
      <c r="J1709" s="18"/>
      <c r="K1709" s="18"/>
      <c r="L1709" s="18"/>
      <c r="M1709" s="18"/>
      <c r="N1709" s="18"/>
      <c r="O1709" s="18"/>
    </row>
    <row r="1710" spans="7:15" x14ac:dyDescent="0.2">
      <c r="G1710" s="18"/>
      <c r="H1710" s="18"/>
      <c r="I1710" s="18"/>
      <c r="J1710" s="18"/>
      <c r="K1710" s="18"/>
      <c r="L1710" s="18"/>
      <c r="M1710" s="18"/>
      <c r="N1710" s="18"/>
      <c r="O1710" s="18"/>
    </row>
    <row r="1711" spans="7:15" x14ac:dyDescent="0.2">
      <c r="G1711" s="18"/>
      <c r="H1711" s="18"/>
      <c r="I1711" s="18"/>
      <c r="J1711" s="18"/>
      <c r="K1711" s="18"/>
      <c r="L1711" s="18"/>
      <c r="M1711" s="18"/>
      <c r="N1711" s="18"/>
      <c r="O1711" s="18"/>
    </row>
    <row r="1712" spans="7:15" x14ac:dyDescent="0.2">
      <c r="G1712" s="18"/>
      <c r="H1712" s="18"/>
      <c r="I1712" s="18"/>
      <c r="J1712" s="18"/>
      <c r="K1712" s="18"/>
      <c r="L1712" s="18"/>
      <c r="M1712" s="18"/>
      <c r="N1712" s="18"/>
      <c r="O1712" s="18"/>
    </row>
    <row r="1713" spans="7:15" x14ac:dyDescent="0.2">
      <c r="G1713" s="18"/>
      <c r="H1713" s="18"/>
      <c r="I1713" s="18"/>
      <c r="J1713" s="18"/>
      <c r="K1713" s="18"/>
      <c r="L1713" s="18"/>
      <c r="M1713" s="18"/>
      <c r="N1713" s="18"/>
      <c r="O1713" s="18"/>
    </row>
    <row r="1714" spans="7:15" x14ac:dyDescent="0.2">
      <c r="G1714" s="18"/>
      <c r="H1714" s="18"/>
      <c r="I1714" s="18"/>
      <c r="J1714" s="18"/>
      <c r="K1714" s="18"/>
      <c r="L1714" s="18"/>
      <c r="M1714" s="18"/>
      <c r="N1714" s="18"/>
      <c r="O1714" s="18"/>
    </row>
    <row r="1715" spans="7:15" x14ac:dyDescent="0.2">
      <c r="G1715" s="18"/>
      <c r="H1715" s="18"/>
      <c r="I1715" s="18"/>
      <c r="J1715" s="18"/>
      <c r="K1715" s="18"/>
      <c r="L1715" s="18"/>
      <c r="M1715" s="18"/>
      <c r="N1715" s="18"/>
      <c r="O1715" s="18"/>
    </row>
    <row r="1716" spans="7:15" x14ac:dyDescent="0.2">
      <c r="G1716" s="18"/>
      <c r="H1716" s="18"/>
      <c r="I1716" s="18"/>
      <c r="J1716" s="18"/>
      <c r="K1716" s="18"/>
      <c r="L1716" s="18"/>
      <c r="M1716" s="18"/>
      <c r="N1716" s="18"/>
      <c r="O1716" s="18"/>
    </row>
    <row r="1717" spans="7:15" x14ac:dyDescent="0.2">
      <c r="G1717" s="18"/>
      <c r="H1717" s="18"/>
      <c r="I1717" s="18"/>
      <c r="J1717" s="18"/>
      <c r="K1717" s="18"/>
      <c r="L1717" s="18"/>
      <c r="M1717" s="18"/>
      <c r="N1717" s="18"/>
      <c r="O1717" s="18"/>
    </row>
    <row r="1718" spans="7:15" x14ac:dyDescent="0.2">
      <c r="G1718" s="18"/>
      <c r="H1718" s="18"/>
      <c r="I1718" s="18"/>
      <c r="J1718" s="18"/>
      <c r="K1718" s="18"/>
      <c r="L1718" s="18"/>
      <c r="M1718" s="18"/>
      <c r="N1718" s="18"/>
      <c r="O1718" s="18"/>
    </row>
    <row r="1719" spans="7:15" x14ac:dyDescent="0.2">
      <c r="G1719" s="18"/>
      <c r="H1719" s="18"/>
      <c r="I1719" s="18"/>
      <c r="J1719" s="18"/>
      <c r="K1719" s="18"/>
      <c r="L1719" s="18"/>
      <c r="M1719" s="18"/>
      <c r="N1719" s="18"/>
      <c r="O1719" s="18"/>
    </row>
    <row r="1720" spans="7:15" x14ac:dyDescent="0.2">
      <c r="G1720" s="18"/>
      <c r="H1720" s="18"/>
      <c r="I1720" s="18"/>
      <c r="J1720" s="18"/>
      <c r="K1720" s="18"/>
      <c r="L1720" s="18"/>
      <c r="M1720" s="18"/>
      <c r="N1720" s="18"/>
      <c r="O1720" s="18"/>
    </row>
    <row r="1721" spans="7:15" x14ac:dyDescent="0.2">
      <c r="G1721" s="18"/>
      <c r="H1721" s="18"/>
      <c r="I1721" s="18"/>
      <c r="J1721" s="18"/>
      <c r="K1721" s="18"/>
      <c r="L1721" s="18"/>
      <c r="M1721" s="18"/>
      <c r="N1721" s="18"/>
      <c r="O1721" s="18"/>
    </row>
    <row r="1722" spans="7:15" x14ac:dyDescent="0.2">
      <c r="G1722" s="18"/>
      <c r="H1722" s="18"/>
      <c r="I1722" s="18"/>
      <c r="J1722" s="18"/>
      <c r="K1722" s="18"/>
      <c r="L1722" s="18"/>
      <c r="M1722" s="18"/>
      <c r="N1722" s="18"/>
      <c r="O1722" s="18"/>
    </row>
    <row r="1723" spans="7:15" x14ac:dyDescent="0.2">
      <c r="G1723" s="18"/>
      <c r="H1723" s="18"/>
      <c r="I1723" s="18"/>
      <c r="J1723" s="18"/>
      <c r="K1723" s="18"/>
      <c r="L1723" s="18"/>
      <c r="M1723" s="18"/>
      <c r="N1723" s="18"/>
      <c r="O1723" s="18"/>
    </row>
    <row r="1724" spans="7:15" x14ac:dyDescent="0.2">
      <c r="G1724" s="18"/>
      <c r="H1724" s="18"/>
      <c r="I1724" s="18"/>
      <c r="J1724" s="18"/>
      <c r="K1724" s="18"/>
      <c r="L1724" s="18"/>
      <c r="M1724" s="18"/>
      <c r="N1724" s="18"/>
      <c r="O1724" s="18"/>
    </row>
    <row r="1725" spans="7:15" x14ac:dyDescent="0.2">
      <c r="G1725" s="18"/>
      <c r="H1725" s="18"/>
      <c r="I1725" s="18"/>
      <c r="J1725" s="18"/>
      <c r="K1725" s="18"/>
      <c r="L1725" s="18"/>
      <c r="M1725" s="18"/>
      <c r="N1725" s="18"/>
      <c r="O1725" s="18"/>
    </row>
    <row r="1726" spans="7:15" x14ac:dyDescent="0.2">
      <c r="G1726" s="18"/>
      <c r="H1726" s="18"/>
      <c r="I1726" s="18"/>
      <c r="J1726" s="18"/>
      <c r="K1726" s="18"/>
      <c r="L1726" s="18"/>
      <c r="M1726" s="18"/>
      <c r="N1726" s="18"/>
      <c r="O1726" s="18"/>
    </row>
    <row r="1727" spans="7:15" x14ac:dyDescent="0.2">
      <c r="G1727" s="18"/>
      <c r="H1727" s="18"/>
      <c r="I1727" s="18"/>
      <c r="J1727" s="18"/>
      <c r="K1727" s="18"/>
      <c r="L1727" s="18"/>
      <c r="M1727" s="18"/>
      <c r="N1727" s="18"/>
      <c r="O1727" s="18"/>
    </row>
    <row r="1728" spans="7:15" x14ac:dyDescent="0.2">
      <c r="G1728" s="18"/>
      <c r="H1728" s="18"/>
      <c r="I1728" s="18"/>
      <c r="J1728" s="18"/>
      <c r="K1728" s="18"/>
      <c r="L1728" s="18"/>
      <c r="M1728" s="18"/>
      <c r="N1728" s="18"/>
      <c r="O1728" s="18"/>
    </row>
    <row r="1729" spans="7:15" x14ac:dyDescent="0.2">
      <c r="G1729" s="18"/>
      <c r="H1729" s="18"/>
      <c r="I1729" s="18"/>
      <c r="J1729" s="18"/>
      <c r="K1729" s="18"/>
      <c r="L1729" s="18"/>
      <c r="M1729" s="18"/>
      <c r="N1729" s="18"/>
      <c r="O1729" s="18"/>
    </row>
    <row r="1730" spans="7:15" x14ac:dyDescent="0.2">
      <c r="G1730" s="18"/>
      <c r="H1730" s="18"/>
      <c r="I1730" s="18"/>
      <c r="J1730" s="18"/>
      <c r="K1730" s="18"/>
      <c r="L1730" s="18"/>
      <c r="M1730" s="18"/>
      <c r="N1730" s="18"/>
      <c r="O1730" s="18"/>
    </row>
    <row r="1731" spans="7:15" x14ac:dyDescent="0.2">
      <c r="G1731" s="18"/>
      <c r="H1731" s="18"/>
      <c r="I1731" s="18"/>
      <c r="J1731" s="18"/>
      <c r="K1731" s="18"/>
      <c r="L1731" s="18"/>
      <c r="M1731" s="18"/>
      <c r="N1731" s="18"/>
      <c r="O1731" s="18"/>
    </row>
    <row r="1732" spans="7:15" x14ac:dyDescent="0.2">
      <c r="G1732" s="18"/>
      <c r="H1732" s="18"/>
      <c r="I1732" s="18"/>
      <c r="J1732" s="18"/>
      <c r="K1732" s="18"/>
      <c r="L1732" s="18"/>
      <c r="M1732" s="18"/>
      <c r="N1732" s="18"/>
      <c r="O1732" s="18"/>
    </row>
    <row r="1733" spans="7:15" x14ac:dyDescent="0.2">
      <c r="G1733" s="18"/>
      <c r="H1733" s="18"/>
      <c r="I1733" s="18"/>
      <c r="J1733" s="18"/>
      <c r="K1733" s="18"/>
      <c r="L1733" s="18"/>
      <c r="M1733" s="18"/>
      <c r="N1733" s="18"/>
      <c r="O1733" s="18"/>
    </row>
    <row r="1734" spans="7:15" x14ac:dyDescent="0.2">
      <c r="G1734" s="18"/>
      <c r="H1734" s="18"/>
      <c r="I1734" s="18"/>
      <c r="J1734" s="18"/>
      <c r="K1734" s="18"/>
      <c r="L1734" s="18"/>
      <c r="M1734" s="18"/>
      <c r="N1734" s="18"/>
      <c r="O1734" s="18"/>
    </row>
    <row r="1735" spans="7:15" x14ac:dyDescent="0.2">
      <c r="G1735" s="18"/>
      <c r="H1735" s="18"/>
      <c r="I1735" s="18"/>
      <c r="J1735" s="18"/>
      <c r="K1735" s="18"/>
      <c r="L1735" s="18"/>
      <c r="M1735" s="18"/>
      <c r="N1735" s="18"/>
      <c r="O1735" s="18"/>
    </row>
    <row r="1736" spans="7:15" x14ac:dyDescent="0.2">
      <c r="G1736" s="18"/>
      <c r="H1736" s="18"/>
      <c r="I1736" s="18"/>
      <c r="J1736" s="18"/>
      <c r="K1736" s="18"/>
      <c r="L1736" s="18"/>
      <c r="M1736" s="18"/>
      <c r="N1736" s="18"/>
      <c r="O1736" s="18"/>
    </row>
    <row r="1737" spans="7:15" x14ac:dyDescent="0.2">
      <c r="G1737" s="18"/>
      <c r="H1737" s="18"/>
      <c r="I1737" s="18"/>
      <c r="J1737" s="18"/>
      <c r="K1737" s="18"/>
      <c r="L1737" s="18"/>
      <c r="M1737" s="18"/>
      <c r="N1737" s="18"/>
      <c r="O1737" s="18"/>
    </row>
    <row r="1738" spans="7:15" x14ac:dyDescent="0.2">
      <c r="G1738" s="18"/>
      <c r="H1738" s="18"/>
      <c r="I1738" s="18"/>
      <c r="J1738" s="18"/>
      <c r="K1738" s="18"/>
      <c r="L1738" s="18"/>
      <c r="M1738" s="18"/>
      <c r="N1738" s="18"/>
      <c r="O1738" s="18"/>
    </row>
    <row r="1739" spans="7:15" x14ac:dyDescent="0.2">
      <c r="G1739" s="18"/>
      <c r="H1739" s="18"/>
      <c r="I1739" s="18"/>
      <c r="J1739" s="18"/>
      <c r="K1739" s="18"/>
      <c r="L1739" s="18"/>
      <c r="M1739" s="18"/>
      <c r="N1739" s="18"/>
      <c r="O1739" s="18"/>
    </row>
    <row r="1740" spans="7:15" x14ac:dyDescent="0.2">
      <c r="G1740" s="18"/>
      <c r="H1740" s="18"/>
      <c r="I1740" s="18"/>
      <c r="J1740" s="18"/>
      <c r="K1740" s="18"/>
      <c r="L1740" s="18"/>
      <c r="M1740" s="18"/>
      <c r="N1740" s="18"/>
      <c r="O1740" s="18"/>
    </row>
    <row r="1741" spans="7:15" x14ac:dyDescent="0.2">
      <c r="G1741" s="18"/>
      <c r="H1741" s="18"/>
      <c r="I1741" s="18"/>
      <c r="J1741" s="18"/>
      <c r="K1741" s="18"/>
      <c r="L1741" s="18"/>
      <c r="M1741" s="18"/>
      <c r="N1741" s="18"/>
      <c r="O1741" s="18"/>
    </row>
    <row r="1742" spans="7:15" x14ac:dyDescent="0.2">
      <c r="G1742" s="18"/>
      <c r="H1742" s="18"/>
      <c r="I1742" s="18"/>
      <c r="J1742" s="18"/>
      <c r="K1742" s="18"/>
      <c r="L1742" s="18"/>
      <c r="M1742" s="18"/>
      <c r="N1742" s="18"/>
      <c r="O1742" s="18"/>
    </row>
    <row r="1743" spans="7:15" x14ac:dyDescent="0.2">
      <c r="G1743" s="18"/>
      <c r="H1743" s="18"/>
      <c r="I1743" s="18"/>
      <c r="J1743" s="18"/>
      <c r="K1743" s="18"/>
      <c r="L1743" s="18"/>
      <c r="M1743" s="18"/>
      <c r="N1743" s="18"/>
      <c r="O1743" s="18"/>
    </row>
    <row r="1744" spans="7:15" x14ac:dyDescent="0.2">
      <c r="G1744" s="18"/>
      <c r="H1744" s="18"/>
      <c r="I1744" s="18"/>
      <c r="J1744" s="18"/>
      <c r="K1744" s="18"/>
      <c r="L1744" s="18"/>
      <c r="M1744" s="18"/>
      <c r="N1744" s="18"/>
      <c r="O1744" s="18"/>
    </row>
    <row r="1745" spans="7:15" x14ac:dyDescent="0.2">
      <c r="G1745" s="18"/>
      <c r="H1745" s="18"/>
      <c r="I1745" s="18"/>
      <c r="J1745" s="18"/>
      <c r="K1745" s="18"/>
      <c r="L1745" s="18"/>
      <c r="M1745" s="18"/>
      <c r="N1745" s="18"/>
      <c r="O1745" s="18"/>
    </row>
    <row r="1746" spans="7:15" x14ac:dyDescent="0.2">
      <c r="G1746" s="18"/>
      <c r="H1746" s="18"/>
      <c r="I1746" s="18"/>
      <c r="J1746" s="18"/>
      <c r="K1746" s="18"/>
      <c r="L1746" s="18"/>
      <c r="M1746" s="18"/>
      <c r="N1746" s="18"/>
      <c r="O1746" s="18"/>
    </row>
    <row r="1747" spans="7:15" x14ac:dyDescent="0.2">
      <c r="G1747" s="18"/>
      <c r="H1747" s="18"/>
      <c r="I1747" s="18"/>
      <c r="J1747" s="18"/>
      <c r="K1747" s="18"/>
      <c r="L1747" s="18"/>
      <c r="M1747" s="18"/>
      <c r="N1747" s="18"/>
      <c r="O1747" s="18"/>
    </row>
    <row r="1748" spans="7:15" x14ac:dyDescent="0.2">
      <c r="G1748" s="18"/>
      <c r="H1748" s="18"/>
      <c r="I1748" s="18"/>
      <c r="J1748" s="18"/>
      <c r="K1748" s="18"/>
      <c r="L1748" s="18"/>
      <c r="M1748" s="18"/>
      <c r="N1748" s="18"/>
      <c r="O1748" s="18"/>
    </row>
    <row r="1749" spans="7:15" x14ac:dyDescent="0.2">
      <c r="G1749" s="18"/>
      <c r="H1749" s="18"/>
      <c r="I1749" s="18"/>
      <c r="J1749" s="18"/>
      <c r="K1749" s="18"/>
      <c r="L1749" s="18"/>
      <c r="M1749" s="18"/>
      <c r="N1749" s="18"/>
      <c r="O1749" s="18"/>
    </row>
    <row r="1750" spans="7:15" x14ac:dyDescent="0.2">
      <c r="G1750" s="18"/>
      <c r="H1750" s="18"/>
      <c r="I1750" s="18"/>
      <c r="J1750" s="18"/>
      <c r="K1750" s="18"/>
      <c r="L1750" s="18"/>
      <c r="M1750" s="18"/>
      <c r="N1750" s="18"/>
      <c r="O1750" s="18"/>
    </row>
    <row r="1751" spans="7:15" x14ac:dyDescent="0.2">
      <c r="G1751" s="18"/>
      <c r="H1751" s="18"/>
      <c r="I1751" s="18"/>
      <c r="J1751" s="18"/>
      <c r="K1751" s="18"/>
      <c r="L1751" s="18"/>
      <c r="M1751" s="18"/>
      <c r="N1751" s="18"/>
      <c r="O1751" s="18"/>
    </row>
    <row r="1752" spans="7:15" x14ac:dyDescent="0.2">
      <c r="G1752" s="18"/>
      <c r="H1752" s="18"/>
      <c r="I1752" s="18"/>
      <c r="J1752" s="18"/>
      <c r="K1752" s="18"/>
      <c r="L1752" s="18"/>
      <c r="M1752" s="18"/>
      <c r="N1752" s="18"/>
      <c r="O1752" s="18"/>
    </row>
    <row r="1753" spans="7:15" x14ac:dyDescent="0.2">
      <c r="G1753" s="18"/>
      <c r="H1753" s="18"/>
      <c r="I1753" s="18"/>
      <c r="J1753" s="18"/>
      <c r="K1753" s="18"/>
      <c r="L1753" s="18"/>
      <c r="M1753" s="18"/>
      <c r="N1753" s="18"/>
      <c r="O1753" s="18"/>
    </row>
    <row r="1754" spans="7:15" x14ac:dyDescent="0.2">
      <c r="G1754" s="18"/>
      <c r="H1754" s="18"/>
      <c r="I1754" s="18"/>
      <c r="J1754" s="18"/>
      <c r="K1754" s="18"/>
      <c r="L1754" s="18"/>
      <c r="M1754" s="18"/>
      <c r="N1754" s="18"/>
      <c r="O1754" s="18"/>
    </row>
    <row r="1755" spans="7:15" x14ac:dyDescent="0.2">
      <c r="G1755" s="18"/>
      <c r="H1755" s="18"/>
      <c r="I1755" s="18"/>
      <c r="J1755" s="18"/>
      <c r="K1755" s="18"/>
      <c r="L1755" s="18"/>
      <c r="M1755" s="18"/>
      <c r="N1755" s="18"/>
      <c r="O1755" s="18"/>
    </row>
    <row r="1756" spans="7:15" x14ac:dyDescent="0.2">
      <c r="G1756" s="18"/>
      <c r="H1756" s="18"/>
      <c r="I1756" s="18"/>
      <c r="J1756" s="18"/>
      <c r="K1756" s="18"/>
      <c r="L1756" s="18"/>
      <c r="M1756" s="18"/>
      <c r="N1756" s="18"/>
      <c r="O1756" s="18"/>
    </row>
    <row r="1757" spans="7:15" x14ac:dyDescent="0.2">
      <c r="G1757" s="18"/>
      <c r="H1757" s="18"/>
      <c r="I1757" s="18"/>
      <c r="J1757" s="18"/>
      <c r="K1757" s="18"/>
      <c r="L1757" s="18"/>
      <c r="M1757" s="18"/>
      <c r="N1757" s="18"/>
      <c r="O1757" s="18"/>
    </row>
    <row r="1758" spans="7:15" x14ac:dyDescent="0.2">
      <c r="G1758" s="18"/>
      <c r="H1758" s="18"/>
      <c r="I1758" s="18"/>
      <c r="J1758" s="18"/>
      <c r="K1758" s="18"/>
      <c r="L1758" s="18"/>
      <c r="M1758" s="18"/>
      <c r="N1758" s="18"/>
      <c r="O1758" s="18"/>
    </row>
    <row r="1759" spans="7:15" x14ac:dyDescent="0.2">
      <c r="G1759" s="18"/>
      <c r="H1759" s="18"/>
      <c r="I1759" s="18"/>
      <c r="J1759" s="18"/>
      <c r="K1759" s="18"/>
      <c r="L1759" s="18"/>
      <c r="M1759" s="18"/>
      <c r="N1759" s="18"/>
      <c r="O1759" s="18"/>
    </row>
    <row r="1760" spans="7:15" x14ac:dyDescent="0.2">
      <c r="G1760" s="18"/>
      <c r="H1760" s="18"/>
      <c r="I1760" s="18"/>
      <c r="J1760" s="18"/>
      <c r="K1760" s="18"/>
      <c r="L1760" s="18"/>
      <c r="M1760" s="18"/>
      <c r="N1760" s="18"/>
      <c r="O1760" s="18"/>
    </row>
    <row r="1761" spans="7:15" x14ac:dyDescent="0.2">
      <c r="G1761" s="18"/>
      <c r="H1761" s="18"/>
      <c r="I1761" s="18"/>
      <c r="J1761" s="18"/>
      <c r="K1761" s="18"/>
      <c r="L1761" s="18"/>
      <c r="M1761" s="18"/>
      <c r="N1761" s="18"/>
      <c r="O1761" s="18"/>
    </row>
    <row r="1762" spans="7:15" x14ac:dyDescent="0.2">
      <c r="G1762" s="18"/>
      <c r="H1762" s="18"/>
      <c r="I1762" s="18"/>
      <c r="J1762" s="18"/>
      <c r="K1762" s="18"/>
      <c r="L1762" s="18"/>
      <c r="M1762" s="18"/>
      <c r="N1762" s="18"/>
      <c r="O1762" s="18"/>
    </row>
    <row r="1763" spans="7:15" x14ac:dyDescent="0.2">
      <c r="G1763" s="18"/>
      <c r="H1763" s="18"/>
      <c r="I1763" s="18"/>
      <c r="J1763" s="18"/>
      <c r="K1763" s="18"/>
      <c r="L1763" s="18"/>
      <c r="M1763" s="18"/>
      <c r="N1763" s="18"/>
      <c r="O1763" s="18"/>
    </row>
    <row r="1764" spans="7:15" x14ac:dyDescent="0.2">
      <c r="G1764" s="18"/>
      <c r="H1764" s="18"/>
      <c r="I1764" s="18"/>
      <c r="J1764" s="18"/>
      <c r="K1764" s="18"/>
      <c r="L1764" s="18"/>
      <c r="M1764" s="18"/>
      <c r="N1764" s="18"/>
      <c r="O1764" s="18"/>
    </row>
    <row r="1765" spans="7:15" x14ac:dyDescent="0.2">
      <c r="G1765" s="18"/>
      <c r="H1765" s="18"/>
      <c r="I1765" s="18"/>
      <c r="J1765" s="18"/>
      <c r="K1765" s="18"/>
      <c r="L1765" s="18"/>
      <c r="M1765" s="18"/>
      <c r="N1765" s="18"/>
      <c r="O1765" s="18"/>
    </row>
    <row r="1766" spans="7:15" x14ac:dyDescent="0.2">
      <c r="G1766" s="18"/>
      <c r="H1766" s="18"/>
      <c r="I1766" s="18"/>
      <c r="J1766" s="18"/>
      <c r="K1766" s="18"/>
      <c r="L1766" s="18"/>
      <c r="M1766" s="18"/>
      <c r="N1766" s="18"/>
      <c r="O1766" s="18"/>
    </row>
    <row r="1767" spans="7:15" x14ac:dyDescent="0.2">
      <c r="G1767" s="18"/>
      <c r="H1767" s="18"/>
      <c r="I1767" s="18"/>
      <c r="J1767" s="18"/>
      <c r="K1767" s="18"/>
      <c r="L1767" s="18"/>
      <c r="M1767" s="18"/>
      <c r="N1767" s="18"/>
      <c r="O1767" s="18"/>
    </row>
    <row r="1768" spans="7:15" x14ac:dyDescent="0.2">
      <c r="G1768" s="18"/>
      <c r="H1768" s="18"/>
      <c r="I1768" s="18"/>
      <c r="J1768" s="18"/>
      <c r="K1768" s="18"/>
      <c r="L1768" s="18"/>
      <c r="M1768" s="18"/>
      <c r="N1768" s="18"/>
      <c r="O1768" s="18"/>
    </row>
    <row r="1769" spans="7:15" x14ac:dyDescent="0.2">
      <c r="G1769" s="18"/>
      <c r="H1769" s="18"/>
      <c r="I1769" s="18"/>
      <c r="J1769" s="18"/>
      <c r="K1769" s="18"/>
      <c r="L1769" s="18"/>
      <c r="M1769" s="18"/>
      <c r="N1769" s="18"/>
      <c r="O1769" s="18"/>
    </row>
    <row r="1770" spans="7:15" x14ac:dyDescent="0.2">
      <c r="G1770" s="18"/>
      <c r="H1770" s="18"/>
      <c r="I1770" s="18"/>
      <c r="J1770" s="18"/>
      <c r="K1770" s="18"/>
      <c r="L1770" s="18"/>
      <c r="M1770" s="18"/>
      <c r="N1770" s="18"/>
      <c r="O1770" s="18"/>
    </row>
    <row r="1771" spans="7:15" x14ac:dyDescent="0.2">
      <c r="G1771" s="18"/>
      <c r="H1771" s="18"/>
      <c r="I1771" s="18"/>
      <c r="J1771" s="18"/>
      <c r="K1771" s="18"/>
      <c r="L1771" s="18"/>
      <c r="M1771" s="18"/>
      <c r="N1771" s="18"/>
      <c r="O1771" s="18"/>
    </row>
    <row r="1772" spans="7:15" x14ac:dyDescent="0.2">
      <c r="G1772" s="18"/>
      <c r="H1772" s="18"/>
      <c r="I1772" s="18"/>
      <c r="J1772" s="18"/>
      <c r="K1772" s="18"/>
      <c r="L1772" s="18"/>
      <c r="M1772" s="18"/>
      <c r="N1772" s="18"/>
      <c r="O1772" s="18"/>
    </row>
    <row r="1773" spans="7:15" x14ac:dyDescent="0.2">
      <c r="G1773" s="18"/>
      <c r="H1773" s="18"/>
      <c r="I1773" s="18"/>
      <c r="J1773" s="18"/>
      <c r="K1773" s="18"/>
      <c r="L1773" s="18"/>
      <c r="M1773" s="18"/>
      <c r="N1773" s="18"/>
      <c r="O1773" s="18"/>
    </row>
    <row r="1774" spans="7:15" x14ac:dyDescent="0.2">
      <c r="G1774" s="18"/>
      <c r="H1774" s="18"/>
      <c r="I1774" s="18"/>
      <c r="J1774" s="18"/>
      <c r="K1774" s="18"/>
      <c r="L1774" s="18"/>
      <c r="M1774" s="18"/>
      <c r="N1774" s="18"/>
      <c r="O1774" s="18"/>
    </row>
    <row r="1775" spans="7:15" x14ac:dyDescent="0.2">
      <c r="G1775" s="18"/>
      <c r="H1775" s="18"/>
      <c r="I1775" s="18"/>
      <c r="J1775" s="18"/>
      <c r="K1775" s="18"/>
      <c r="L1775" s="18"/>
      <c r="M1775" s="18"/>
      <c r="N1775" s="18"/>
      <c r="O1775" s="18"/>
    </row>
    <row r="1776" spans="7:15" x14ac:dyDescent="0.2">
      <c r="G1776" s="18"/>
      <c r="H1776" s="18"/>
      <c r="I1776" s="18"/>
      <c r="J1776" s="18"/>
      <c r="K1776" s="18"/>
      <c r="L1776" s="18"/>
      <c r="M1776" s="18"/>
      <c r="N1776" s="18"/>
      <c r="O1776" s="18"/>
    </row>
    <row r="1777" spans="7:15" x14ac:dyDescent="0.2">
      <c r="G1777" s="18"/>
      <c r="H1777" s="18"/>
      <c r="I1777" s="18"/>
      <c r="J1777" s="18"/>
      <c r="K1777" s="18"/>
      <c r="L1777" s="18"/>
      <c r="M1777" s="18"/>
      <c r="N1777" s="18"/>
      <c r="O1777" s="18"/>
    </row>
    <row r="1778" spans="7:15" x14ac:dyDescent="0.2">
      <c r="G1778" s="18"/>
      <c r="H1778" s="18"/>
      <c r="I1778" s="18"/>
      <c r="J1778" s="18"/>
      <c r="K1778" s="18"/>
      <c r="L1778" s="18"/>
      <c r="M1778" s="18"/>
      <c r="N1778" s="18"/>
      <c r="O1778" s="18"/>
    </row>
    <row r="1779" spans="7:15" x14ac:dyDescent="0.2">
      <c r="G1779" s="18"/>
      <c r="H1779" s="18"/>
      <c r="I1779" s="18"/>
      <c r="J1779" s="18"/>
      <c r="K1779" s="18"/>
      <c r="L1779" s="18"/>
      <c r="M1779" s="18"/>
      <c r="N1779" s="18"/>
      <c r="O1779" s="18"/>
    </row>
    <row r="1780" spans="7:15" x14ac:dyDescent="0.2">
      <c r="G1780" s="18"/>
      <c r="H1780" s="18"/>
      <c r="I1780" s="18"/>
      <c r="J1780" s="18"/>
      <c r="K1780" s="18"/>
      <c r="L1780" s="18"/>
      <c r="M1780" s="18"/>
      <c r="N1780" s="18"/>
      <c r="O1780" s="18"/>
    </row>
    <row r="1781" spans="7:15" x14ac:dyDescent="0.2">
      <c r="G1781" s="18"/>
      <c r="H1781" s="18"/>
      <c r="I1781" s="18"/>
      <c r="J1781" s="18"/>
      <c r="K1781" s="18"/>
      <c r="L1781" s="18"/>
      <c r="M1781" s="18"/>
      <c r="N1781" s="18"/>
      <c r="O1781" s="18"/>
    </row>
    <row r="1782" spans="7:15" x14ac:dyDescent="0.2">
      <c r="G1782" s="18"/>
      <c r="H1782" s="18"/>
      <c r="I1782" s="18"/>
      <c r="J1782" s="18"/>
      <c r="K1782" s="18"/>
      <c r="L1782" s="18"/>
      <c r="M1782" s="18"/>
      <c r="N1782" s="18"/>
      <c r="O1782" s="18"/>
    </row>
    <row r="1783" spans="7:15" x14ac:dyDescent="0.2">
      <c r="G1783" s="18"/>
      <c r="H1783" s="18"/>
      <c r="I1783" s="18"/>
      <c r="J1783" s="18"/>
      <c r="K1783" s="18"/>
      <c r="L1783" s="18"/>
      <c r="M1783" s="18"/>
      <c r="N1783" s="18"/>
      <c r="O1783" s="18"/>
    </row>
    <row r="1784" spans="7:15" x14ac:dyDescent="0.2">
      <c r="G1784" s="18"/>
      <c r="H1784" s="18"/>
      <c r="I1784" s="18"/>
      <c r="J1784" s="18"/>
      <c r="K1784" s="18"/>
      <c r="L1784" s="18"/>
      <c r="M1784" s="18"/>
      <c r="N1784" s="18"/>
      <c r="O1784" s="18"/>
    </row>
    <row r="1785" spans="7:15" x14ac:dyDescent="0.2">
      <c r="G1785" s="18"/>
      <c r="H1785" s="18"/>
      <c r="I1785" s="18"/>
      <c r="J1785" s="18"/>
      <c r="K1785" s="18"/>
      <c r="L1785" s="18"/>
      <c r="M1785" s="18"/>
      <c r="N1785" s="18"/>
      <c r="O1785" s="18"/>
    </row>
    <row r="1786" spans="7:15" x14ac:dyDescent="0.2">
      <c r="G1786" s="18"/>
      <c r="H1786" s="18"/>
      <c r="I1786" s="18"/>
      <c r="J1786" s="18"/>
      <c r="K1786" s="18"/>
      <c r="L1786" s="18"/>
      <c r="M1786" s="18"/>
      <c r="N1786" s="18"/>
      <c r="O1786" s="18"/>
    </row>
    <row r="1787" spans="7:15" x14ac:dyDescent="0.2">
      <c r="G1787" s="18"/>
      <c r="H1787" s="18"/>
      <c r="I1787" s="18"/>
      <c r="J1787" s="18"/>
      <c r="K1787" s="18"/>
      <c r="L1787" s="18"/>
      <c r="M1787" s="18"/>
      <c r="N1787" s="18"/>
      <c r="O1787" s="18"/>
    </row>
    <row r="1788" spans="7:15" x14ac:dyDescent="0.2">
      <c r="G1788" s="18"/>
      <c r="H1788" s="18"/>
      <c r="I1788" s="18"/>
      <c r="J1788" s="18"/>
      <c r="K1788" s="18"/>
      <c r="L1788" s="18"/>
      <c r="M1788" s="18"/>
      <c r="N1788" s="18"/>
      <c r="O1788" s="18"/>
    </row>
    <row r="1789" spans="7:15" x14ac:dyDescent="0.2">
      <c r="G1789" s="18"/>
      <c r="H1789" s="18"/>
      <c r="I1789" s="18"/>
      <c r="J1789" s="18"/>
      <c r="K1789" s="18"/>
      <c r="L1789" s="18"/>
      <c r="M1789" s="18"/>
      <c r="N1789" s="18"/>
      <c r="O1789" s="18"/>
    </row>
    <row r="1790" spans="7:15" x14ac:dyDescent="0.2">
      <c r="G1790" s="18"/>
      <c r="H1790" s="18"/>
      <c r="I1790" s="18"/>
      <c r="J1790" s="18"/>
      <c r="K1790" s="18"/>
      <c r="L1790" s="18"/>
      <c r="M1790" s="18"/>
      <c r="N1790" s="18"/>
      <c r="O1790" s="18"/>
    </row>
    <row r="1791" spans="7:15" x14ac:dyDescent="0.2">
      <c r="G1791" s="18"/>
      <c r="H1791" s="18"/>
      <c r="I1791" s="18"/>
      <c r="J1791" s="18"/>
      <c r="K1791" s="18"/>
      <c r="L1791" s="18"/>
      <c r="M1791" s="18"/>
      <c r="N1791" s="18"/>
      <c r="O1791" s="18"/>
    </row>
    <row r="1792" spans="7:15" x14ac:dyDescent="0.2">
      <c r="G1792" s="18"/>
      <c r="H1792" s="18"/>
      <c r="I1792" s="18"/>
      <c r="J1792" s="18"/>
      <c r="K1792" s="18"/>
      <c r="L1792" s="18"/>
      <c r="M1792" s="18"/>
      <c r="N1792" s="18"/>
      <c r="O1792" s="18"/>
    </row>
    <row r="1793" spans="7:15" x14ac:dyDescent="0.2">
      <c r="G1793" s="18"/>
      <c r="H1793" s="18"/>
      <c r="I1793" s="18"/>
      <c r="J1793" s="18"/>
      <c r="K1793" s="18"/>
      <c r="L1793" s="18"/>
      <c r="M1793" s="18"/>
      <c r="N1793" s="18"/>
      <c r="O1793" s="18"/>
    </row>
    <row r="1794" spans="7:15" x14ac:dyDescent="0.2">
      <c r="G1794" s="18"/>
      <c r="H1794" s="18"/>
      <c r="I1794" s="18"/>
      <c r="J1794" s="18"/>
      <c r="K1794" s="18"/>
      <c r="L1794" s="18"/>
      <c r="M1794" s="18"/>
      <c r="N1794" s="18"/>
      <c r="O1794" s="18"/>
    </row>
    <row r="1795" spans="7:15" x14ac:dyDescent="0.2">
      <c r="G1795" s="18"/>
      <c r="H1795" s="18"/>
      <c r="I1795" s="18"/>
      <c r="J1795" s="18"/>
      <c r="K1795" s="18"/>
      <c r="L1795" s="18"/>
      <c r="M1795" s="18"/>
      <c r="N1795" s="18"/>
      <c r="O1795" s="18"/>
    </row>
    <row r="1796" spans="7:15" x14ac:dyDescent="0.2">
      <c r="G1796" s="18"/>
      <c r="H1796" s="18"/>
      <c r="I1796" s="18"/>
      <c r="J1796" s="18"/>
      <c r="K1796" s="18"/>
      <c r="L1796" s="18"/>
      <c r="M1796" s="18"/>
      <c r="N1796" s="18"/>
      <c r="O1796" s="18"/>
    </row>
    <row r="1797" spans="7:15" x14ac:dyDescent="0.2">
      <c r="G1797" s="18"/>
      <c r="H1797" s="18"/>
      <c r="I1797" s="18"/>
      <c r="J1797" s="18"/>
      <c r="K1797" s="18"/>
      <c r="L1797" s="18"/>
      <c r="M1797" s="18"/>
      <c r="N1797" s="18"/>
      <c r="O1797" s="18"/>
    </row>
    <row r="1798" spans="7:15" x14ac:dyDescent="0.2">
      <c r="G1798" s="18"/>
      <c r="H1798" s="18"/>
      <c r="I1798" s="18"/>
      <c r="J1798" s="18"/>
      <c r="K1798" s="18"/>
      <c r="L1798" s="18"/>
      <c r="M1798" s="18"/>
      <c r="N1798" s="18"/>
      <c r="O1798" s="18"/>
    </row>
    <row r="1799" spans="7:15" x14ac:dyDescent="0.2">
      <c r="G1799" s="18"/>
      <c r="H1799" s="18"/>
      <c r="I1799" s="18"/>
      <c r="J1799" s="18"/>
      <c r="K1799" s="18"/>
      <c r="L1799" s="18"/>
      <c r="M1799" s="18"/>
      <c r="N1799" s="18"/>
      <c r="O1799" s="18"/>
    </row>
    <row r="1800" spans="7:15" x14ac:dyDescent="0.2">
      <c r="G1800" s="18"/>
      <c r="H1800" s="18"/>
      <c r="I1800" s="18"/>
      <c r="J1800" s="18"/>
      <c r="K1800" s="18"/>
      <c r="L1800" s="18"/>
      <c r="M1800" s="18"/>
      <c r="N1800" s="18"/>
      <c r="O1800" s="18"/>
    </row>
    <row r="1801" spans="7:15" x14ac:dyDescent="0.2">
      <c r="G1801" s="18"/>
      <c r="H1801" s="18"/>
      <c r="I1801" s="18"/>
      <c r="J1801" s="18"/>
      <c r="K1801" s="18"/>
      <c r="L1801" s="18"/>
      <c r="M1801" s="18"/>
      <c r="N1801" s="18"/>
      <c r="O1801" s="18"/>
    </row>
    <row r="1802" spans="7:15" x14ac:dyDescent="0.2">
      <c r="G1802" s="18"/>
      <c r="H1802" s="18"/>
      <c r="I1802" s="18"/>
      <c r="J1802" s="18"/>
      <c r="K1802" s="18"/>
      <c r="L1802" s="18"/>
      <c r="M1802" s="18"/>
      <c r="N1802" s="18"/>
      <c r="O1802" s="18"/>
    </row>
    <row r="1803" spans="7:15" x14ac:dyDescent="0.2">
      <c r="G1803" s="18"/>
      <c r="H1803" s="18"/>
      <c r="I1803" s="18"/>
      <c r="J1803" s="18"/>
      <c r="K1803" s="18"/>
      <c r="L1803" s="18"/>
      <c r="M1803" s="18"/>
      <c r="N1803" s="18"/>
      <c r="O1803" s="18"/>
    </row>
    <row r="1804" spans="7:15" x14ac:dyDescent="0.2">
      <c r="G1804" s="18"/>
      <c r="H1804" s="18"/>
      <c r="I1804" s="18"/>
      <c r="J1804" s="18"/>
      <c r="K1804" s="18"/>
      <c r="L1804" s="18"/>
      <c r="M1804" s="18"/>
      <c r="N1804" s="18"/>
      <c r="O1804" s="18"/>
    </row>
    <row r="1805" spans="7:15" x14ac:dyDescent="0.2">
      <c r="G1805" s="18"/>
      <c r="H1805" s="18"/>
      <c r="I1805" s="18"/>
      <c r="J1805" s="18"/>
      <c r="K1805" s="18"/>
      <c r="L1805" s="18"/>
      <c r="M1805" s="18"/>
      <c r="N1805" s="18"/>
      <c r="O1805" s="18"/>
    </row>
    <row r="1806" spans="7:15" x14ac:dyDescent="0.2">
      <c r="G1806" s="18"/>
      <c r="H1806" s="18"/>
      <c r="I1806" s="18"/>
      <c r="J1806" s="18"/>
      <c r="K1806" s="18"/>
      <c r="L1806" s="18"/>
      <c r="M1806" s="18"/>
      <c r="N1806" s="18"/>
      <c r="O1806" s="18"/>
    </row>
    <row r="1807" spans="7:15" x14ac:dyDescent="0.2">
      <c r="G1807" s="18"/>
      <c r="H1807" s="18"/>
      <c r="I1807" s="18"/>
      <c r="J1807" s="18"/>
      <c r="K1807" s="18"/>
      <c r="L1807" s="18"/>
      <c r="M1807" s="18"/>
      <c r="N1807" s="18"/>
      <c r="O1807" s="18"/>
    </row>
    <row r="1808" spans="7:15" x14ac:dyDescent="0.2">
      <c r="G1808" s="18"/>
      <c r="H1808" s="18"/>
      <c r="I1808" s="18"/>
      <c r="J1808" s="18"/>
      <c r="K1808" s="18"/>
      <c r="L1808" s="18"/>
      <c r="M1808" s="18"/>
      <c r="N1808" s="18"/>
      <c r="O1808" s="18"/>
    </row>
    <row r="1809" spans="7:15" x14ac:dyDescent="0.2">
      <c r="G1809" s="18"/>
      <c r="H1809" s="18"/>
      <c r="I1809" s="18"/>
      <c r="J1809" s="18"/>
      <c r="K1809" s="18"/>
      <c r="L1809" s="18"/>
      <c r="M1809" s="18"/>
      <c r="N1809" s="18"/>
      <c r="O1809" s="18"/>
    </row>
    <row r="1810" spans="7:15" x14ac:dyDescent="0.2">
      <c r="G1810" s="18"/>
      <c r="H1810" s="18"/>
      <c r="I1810" s="18"/>
      <c r="J1810" s="18"/>
      <c r="K1810" s="18"/>
      <c r="L1810" s="18"/>
      <c r="M1810" s="18"/>
      <c r="N1810" s="18"/>
      <c r="O1810" s="18"/>
    </row>
    <row r="1811" spans="7:15" x14ac:dyDescent="0.2">
      <c r="G1811" s="18"/>
      <c r="H1811" s="18"/>
      <c r="I1811" s="18"/>
      <c r="J1811" s="18"/>
      <c r="K1811" s="18"/>
      <c r="L1811" s="18"/>
      <c r="M1811" s="18"/>
      <c r="N1811" s="18"/>
      <c r="O1811" s="18"/>
    </row>
    <row r="1812" spans="7:15" x14ac:dyDescent="0.2">
      <c r="G1812" s="18"/>
      <c r="H1812" s="18"/>
      <c r="I1812" s="18"/>
      <c r="J1812" s="18"/>
      <c r="K1812" s="18"/>
      <c r="L1812" s="18"/>
      <c r="M1812" s="18"/>
      <c r="N1812" s="18"/>
      <c r="O1812" s="18"/>
    </row>
    <row r="1813" spans="7:15" x14ac:dyDescent="0.2">
      <c r="G1813" s="18"/>
      <c r="H1813" s="18"/>
      <c r="I1813" s="18"/>
      <c r="J1813" s="18"/>
      <c r="K1813" s="18"/>
      <c r="L1813" s="18"/>
      <c r="M1813" s="18"/>
      <c r="N1813" s="18"/>
      <c r="O1813" s="18"/>
    </row>
    <row r="1814" spans="7:15" x14ac:dyDescent="0.2">
      <c r="G1814" s="18"/>
      <c r="H1814" s="18"/>
      <c r="I1814" s="18"/>
      <c r="J1814" s="18"/>
      <c r="K1814" s="18"/>
      <c r="L1814" s="18"/>
      <c r="M1814" s="18"/>
      <c r="N1814" s="18"/>
      <c r="O1814" s="18"/>
    </row>
    <row r="1815" spans="7:15" x14ac:dyDescent="0.2">
      <c r="G1815" s="18"/>
      <c r="H1815" s="18"/>
      <c r="I1815" s="18"/>
      <c r="J1815" s="18"/>
      <c r="K1815" s="18"/>
      <c r="L1815" s="18"/>
      <c r="M1815" s="18"/>
      <c r="N1815" s="18"/>
      <c r="O1815" s="18"/>
    </row>
    <row r="1816" spans="7:15" x14ac:dyDescent="0.2">
      <c r="G1816" s="18"/>
      <c r="H1816" s="18"/>
      <c r="I1816" s="18"/>
      <c r="J1816" s="18"/>
      <c r="K1816" s="18"/>
      <c r="L1816" s="18"/>
      <c r="M1816" s="18"/>
      <c r="N1816" s="18"/>
      <c r="O1816" s="18"/>
    </row>
    <row r="1817" spans="7:15" x14ac:dyDescent="0.2">
      <c r="G1817" s="18"/>
      <c r="H1817" s="18"/>
      <c r="I1817" s="18"/>
      <c r="J1817" s="18"/>
      <c r="K1817" s="18"/>
      <c r="L1817" s="18"/>
      <c r="M1817" s="18"/>
      <c r="N1817" s="18"/>
      <c r="O1817" s="18"/>
    </row>
    <row r="1818" spans="7:15" x14ac:dyDescent="0.2">
      <c r="G1818" s="18"/>
      <c r="H1818" s="18"/>
      <c r="I1818" s="18"/>
      <c r="J1818" s="18"/>
      <c r="K1818" s="18"/>
      <c r="L1818" s="18"/>
      <c r="M1818" s="18"/>
      <c r="N1818" s="18"/>
      <c r="O1818" s="18"/>
    </row>
    <row r="1819" spans="7:15" x14ac:dyDescent="0.2">
      <c r="G1819" s="18"/>
      <c r="H1819" s="18"/>
      <c r="I1819" s="18"/>
      <c r="J1819" s="18"/>
      <c r="K1819" s="18"/>
      <c r="L1819" s="18"/>
      <c r="M1819" s="18"/>
      <c r="N1819" s="18"/>
      <c r="O1819" s="18"/>
    </row>
    <row r="1820" spans="7:15" x14ac:dyDescent="0.2">
      <c r="G1820" s="18"/>
      <c r="H1820" s="18"/>
      <c r="I1820" s="18"/>
      <c r="J1820" s="18"/>
      <c r="K1820" s="18"/>
      <c r="L1820" s="18"/>
      <c r="M1820" s="18"/>
      <c r="N1820" s="18"/>
      <c r="O1820" s="18"/>
    </row>
    <row r="1821" spans="7:15" x14ac:dyDescent="0.2">
      <c r="G1821" s="18"/>
      <c r="H1821" s="18"/>
      <c r="I1821" s="18"/>
      <c r="J1821" s="18"/>
      <c r="K1821" s="18"/>
      <c r="L1821" s="18"/>
      <c r="M1821" s="18"/>
      <c r="N1821" s="18"/>
      <c r="O1821" s="18"/>
    </row>
    <row r="1822" spans="7:15" x14ac:dyDescent="0.2">
      <c r="G1822" s="18"/>
      <c r="H1822" s="18"/>
      <c r="I1822" s="18"/>
      <c r="J1822" s="18"/>
      <c r="K1822" s="18"/>
      <c r="L1822" s="18"/>
      <c r="M1822" s="18"/>
      <c r="N1822" s="18"/>
      <c r="O1822" s="18"/>
    </row>
    <row r="1823" spans="7:15" x14ac:dyDescent="0.2">
      <c r="G1823" s="18"/>
      <c r="H1823" s="18"/>
      <c r="I1823" s="18"/>
      <c r="J1823" s="18"/>
      <c r="K1823" s="18"/>
      <c r="L1823" s="18"/>
      <c r="M1823" s="18"/>
      <c r="N1823" s="18"/>
      <c r="O1823" s="18"/>
    </row>
    <row r="1824" spans="7:15" x14ac:dyDescent="0.2">
      <c r="G1824" s="18"/>
      <c r="H1824" s="18"/>
      <c r="I1824" s="18"/>
      <c r="J1824" s="18"/>
      <c r="K1824" s="18"/>
      <c r="L1824" s="18"/>
      <c r="M1824" s="18"/>
      <c r="N1824" s="18"/>
      <c r="O1824" s="18"/>
    </row>
    <row r="1825" spans="7:15" x14ac:dyDescent="0.2">
      <c r="G1825" s="18"/>
      <c r="H1825" s="18"/>
      <c r="I1825" s="18"/>
      <c r="J1825" s="18"/>
      <c r="K1825" s="18"/>
      <c r="L1825" s="18"/>
      <c r="M1825" s="18"/>
      <c r="N1825" s="18"/>
      <c r="O1825" s="18"/>
    </row>
    <row r="1826" spans="7:15" x14ac:dyDescent="0.2">
      <c r="G1826" s="18"/>
      <c r="H1826" s="18"/>
      <c r="I1826" s="18"/>
      <c r="J1826" s="18"/>
      <c r="K1826" s="18"/>
      <c r="L1826" s="18"/>
      <c r="M1826" s="18"/>
      <c r="N1826" s="18"/>
      <c r="O1826" s="18"/>
    </row>
    <row r="1827" spans="7:15" x14ac:dyDescent="0.2">
      <c r="G1827" s="18"/>
      <c r="H1827" s="18"/>
      <c r="I1827" s="18"/>
      <c r="J1827" s="18"/>
      <c r="K1827" s="18"/>
      <c r="L1827" s="18"/>
      <c r="M1827" s="18"/>
      <c r="N1827" s="18"/>
      <c r="O1827" s="18"/>
    </row>
    <row r="1828" spans="7:15" x14ac:dyDescent="0.2">
      <c r="G1828" s="18"/>
      <c r="H1828" s="18"/>
      <c r="I1828" s="18"/>
      <c r="J1828" s="18"/>
      <c r="K1828" s="18"/>
      <c r="L1828" s="18"/>
      <c r="M1828" s="18"/>
      <c r="N1828" s="18"/>
      <c r="O1828" s="18"/>
    </row>
    <row r="1829" spans="7:15" x14ac:dyDescent="0.2">
      <c r="G1829" s="18"/>
      <c r="H1829" s="18"/>
      <c r="I1829" s="18"/>
      <c r="J1829" s="18"/>
      <c r="K1829" s="18"/>
      <c r="L1829" s="18"/>
      <c r="M1829" s="18"/>
      <c r="N1829" s="18"/>
      <c r="O1829" s="18"/>
    </row>
    <row r="1830" spans="7:15" x14ac:dyDescent="0.2">
      <c r="G1830" s="18"/>
      <c r="H1830" s="18"/>
      <c r="I1830" s="18"/>
      <c r="J1830" s="18"/>
      <c r="K1830" s="18"/>
      <c r="L1830" s="18"/>
      <c r="M1830" s="18"/>
      <c r="N1830" s="18"/>
      <c r="O1830" s="18"/>
    </row>
    <row r="1831" spans="7:15" x14ac:dyDescent="0.2">
      <c r="G1831" s="18"/>
      <c r="H1831" s="18"/>
      <c r="I1831" s="18"/>
      <c r="J1831" s="18"/>
      <c r="K1831" s="18"/>
      <c r="L1831" s="18"/>
      <c r="M1831" s="18"/>
      <c r="N1831" s="18"/>
      <c r="O1831" s="18"/>
    </row>
    <row r="1832" spans="7:15" x14ac:dyDescent="0.2">
      <c r="G1832" s="18"/>
      <c r="H1832" s="18"/>
      <c r="I1832" s="18"/>
      <c r="J1832" s="18"/>
      <c r="K1832" s="18"/>
      <c r="L1832" s="18"/>
      <c r="M1832" s="18"/>
      <c r="N1832" s="18"/>
      <c r="O1832" s="18"/>
    </row>
    <row r="1833" spans="7:15" x14ac:dyDescent="0.2">
      <c r="G1833" s="18"/>
      <c r="H1833" s="18"/>
      <c r="I1833" s="18"/>
      <c r="J1833" s="18"/>
      <c r="K1833" s="18"/>
      <c r="L1833" s="18"/>
      <c r="M1833" s="18"/>
      <c r="N1833" s="18"/>
      <c r="O1833" s="18"/>
    </row>
    <row r="1834" spans="7:15" x14ac:dyDescent="0.2">
      <c r="G1834" s="18"/>
      <c r="H1834" s="18"/>
      <c r="I1834" s="18"/>
      <c r="J1834" s="18"/>
      <c r="K1834" s="18"/>
      <c r="L1834" s="18"/>
      <c r="M1834" s="18"/>
      <c r="N1834" s="18"/>
      <c r="O1834" s="18"/>
    </row>
    <row r="1835" spans="7:15" x14ac:dyDescent="0.2">
      <c r="G1835" s="18"/>
      <c r="H1835" s="18"/>
      <c r="I1835" s="18"/>
      <c r="J1835" s="18"/>
      <c r="K1835" s="18"/>
      <c r="L1835" s="18"/>
      <c r="M1835" s="18"/>
      <c r="N1835" s="18"/>
      <c r="O1835" s="18"/>
    </row>
    <row r="1836" spans="7:15" x14ac:dyDescent="0.2">
      <c r="G1836" s="18"/>
      <c r="H1836" s="18"/>
      <c r="I1836" s="18"/>
      <c r="J1836" s="18"/>
      <c r="K1836" s="18"/>
      <c r="L1836" s="18"/>
      <c r="M1836" s="18"/>
      <c r="N1836" s="18"/>
      <c r="O1836" s="18"/>
    </row>
    <row r="1837" spans="7:15" x14ac:dyDescent="0.2">
      <c r="G1837" s="18"/>
      <c r="H1837" s="18"/>
      <c r="I1837" s="18"/>
      <c r="J1837" s="18"/>
      <c r="K1837" s="18"/>
      <c r="L1837" s="18"/>
      <c r="M1837" s="18"/>
      <c r="N1837" s="18"/>
      <c r="O1837" s="18"/>
    </row>
    <row r="1838" spans="7:15" x14ac:dyDescent="0.2">
      <c r="G1838" s="18"/>
      <c r="H1838" s="18"/>
      <c r="I1838" s="18"/>
      <c r="J1838" s="18"/>
      <c r="K1838" s="18"/>
      <c r="L1838" s="18"/>
      <c r="M1838" s="18"/>
      <c r="N1838" s="18"/>
      <c r="O1838" s="18"/>
    </row>
    <row r="1839" spans="7:15" x14ac:dyDescent="0.2">
      <c r="G1839" s="18"/>
      <c r="H1839" s="18"/>
      <c r="I1839" s="18"/>
      <c r="J1839" s="18"/>
      <c r="K1839" s="18"/>
      <c r="L1839" s="18"/>
      <c r="M1839" s="18"/>
      <c r="N1839" s="18"/>
      <c r="O1839" s="18"/>
    </row>
    <row r="1840" spans="7:15" x14ac:dyDescent="0.2">
      <c r="G1840" s="18"/>
      <c r="H1840" s="18"/>
      <c r="I1840" s="18"/>
      <c r="J1840" s="18"/>
      <c r="K1840" s="18"/>
      <c r="L1840" s="18"/>
      <c r="M1840" s="18"/>
      <c r="N1840" s="18"/>
      <c r="O1840" s="18"/>
    </row>
    <row r="1841" spans="7:15" x14ac:dyDescent="0.2">
      <c r="G1841" s="18"/>
      <c r="H1841" s="18"/>
      <c r="I1841" s="18"/>
      <c r="J1841" s="18"/>
      <c r="K1841" s="18"/>
      <c r="L1841" s="18"/>
      <c r="M1841" s="18"/>
      <c r="N1841" s="18"/>
      <c r="O1841" s="18"/>
    </row>
    <row r="1842" spans="7:15" x14ac:dyDescent="0.2">
      <c r="G1842" s="18"/>
      <c r="H1842" s="18"/>
      <c r="I1842" s="18"/>
      <c r="J1842" s="18"/>
      <c r="K1842" s="18"/>
      <c r="L1842" s="18"/>
      <c r="M1842" s="18"/>
      <c r="N1842" s="18"/>
      <c r="O1842" s="18"/>
    </row>
    <row r="1843" spans="7:15" x14ac:dyDescent="0.2">
      <c r="G1843" s="18"/>
      <c r="H1843" s="18"/>
      <c r="I1843" s="18"/>
      <c r="J1843" s="18"/>
      <c r="K1843" s="18"/>
      <c r="L1843" s="18"/>
      <c r="M1843" s="18"/>
      <c r="N1843" s="18"/>
      <c r="O1843" s="18"/>
    </row>
    <row r="1844" spans="7:15" x14ac:dyDescent="0.2">
      <c r="G1844" s="18"/>
      <c r="H1844" s="18"/>
      <c r="I1844" s="18"/>
      <c r="J1844" s="18"/>
      <c r="K1844" s="18"/>
      <c r="L1844" s="18"/>
      <c r="M1844" s="18"/>
      <c r="N1844" s="18"/>
      <c r="O1844" s="18"/>
    </row>
    <row r="1845" spans="7:15" x14ac:dyDescent="0.2">
      <c r="G1845" s="18"/>
      <c r="H1845" s="18"/>
      <c r="I1845" s="18"/>
      <c r="J1845" s="18"/>
      <c r="K1845" s="18"/>
      <c r="L1845" s="18"/>
      <c r="M1845" s="18"/>
      <c r="N1845" s="18"/>
      <c r="O1845" s="18"/>
    </row>
    <row r="1846" spans="7:15" x14ac:dyDescent="0.2">
      <c r="G1846" s="18"/>
      <c r="H1846" s="18"/>
      <c r="I1846" s="18"/>
      <c r="J1846" s="18"/>
      <c r="K1846" s="18"/>
      <c r="L1846" s="18"/>
      <c r="M1846" s="18"/>
      <c r="N1846" s="18"/>
      <c r="O1846" s="18"/>
    </row>
    <row r="1847" spans="7:15" x14ac:dyDescent="0.2">
      <c r="G1847" s="18"/>
      <c r="H1847" s="18"/>
      <c r="I1847" s="18"/>
      <c r="J1847" s="18"/>
      <c r="K1847" s="18"/>
      <c r="L1847" s="18"/>
      <c r="M1847" s="18"/>
      <c r="N1847" s="18"/>
      <c r="O1847" s="18"/>
    </row>
    <row r="1848" spans="7:15" x14ac:dyDescent="0.2">
      <c r="G1848" s="18"/>
      <c r="H1848" s="18"/>
      <c r="I1848" s="18"/>
      <c r="J1848" s="18"/>
      <c r="K1848" s="18"/>
      <c r="L1848" s="18"/>
      <c r="M1848" s="18"/>
      <c r="N1848" s="18"/>
      <c r="O1848" s="18"/>
    </row>
    <row r="1849" spans="7:15" x14ac:dyDescent="0.2">
      <c r="G1849" s="18"/>
      <c r="H1849" s="18"/>
      <c r="I1849" s="18"/>
      <c r="J1849" s="18"/>
      <c r="K1849" s="18"/>
      <c r="L1849" s="18"/>
      <c r="M1849" s="18"/>
      <c r="N1849" s="18"/>
      <c r="O1849" s="18"/>
    </row>
    <row r="1850" spans="7:15" x14ac:dyDescent="0.2">
      <c r="G1850" s="18"/>
      <c r="H1850" s="18"/>
      <c r="I1850" s="18"/>
      <c r="J1850" s="18"/>
      <c r="K1850" s="18"/>
      <c r="L1850" s="18"/>
      <c r="M1850" s="18"/>
      <c r="N1850" s="18"/>
      <c r="O1850" s="18"/>
    </row>
    <row r="1851" spans="7:15" x14ac:dyDescent="0.2">
      <c r="G1851" s="18"/>
      <c r="H1851" s="18"/>
      <c r="I1851" s="18"/>
      <c r="J1851" s="18"/>
      <c r="K1851" s="18"/>
      <c r="L1851" s="18"/>
      <c r="M1851" s="18"/>
      <c r="N1851" s="18"/>
      <c r="O1851" s="18"/>
    </row>
    <row r="1852" spans="7:15" x14ac:dyDescent="0.2">
      <c r="G1852" s="18"/>
      <c r="H1852" s="18"/>
      <c r="I1852" s="18"/>
      <c r="J1852" s="18"/>
      <c r="K1852" s="18"/>
      <c r="L1852" s="18"/>
      <c r="M1852" s="18"/>
      <c r="N1852" s="18"/>
      <c r="O1852" s="18"/>
    </row>
    <row r="1853" spans="7:15" x14ac:dyDescent="0.2">
      <c r="G1853" s="18"/>
      <c r="H1853" s="18"/>
      <c r="I1853" s="18"/>
      <c r="J1853" s="18"/>
      <c r="K1853" s="18"/>
      <c r="L1853" s="18"/>
      <c r="M1853" s="18"/>
      <c r="N1853" s="18"/>
      <c r="O1853" s="18"/>
    </row>
    <row r="1854" spans="7:15" x14ac:dyDescent="0.2">
      <c r="G1854" s="18"/>
      <c r="H1854" s="18"/>
      <c r="I1854" s="18"/>
      <c r="J1854" s="18"/>
      <c r="K1854" s="18"/>
      <c r="L1854" s="18"/>
      <c r="M1854" s="18"/>
      <c r="N1854" s="18"/>
      <c r="O1854" s="18"/>
    </row>
    <row r="1855" spans="7:15" x14ac:dyDescent="0.2">
      <c r="G1855" s="18"/>
      <c r="H1855" s="18"/>
      <c r="I1855" s="18"/>
      <c r="J1855" s="18"/>
      <c r="K1855" s="18"/>
      <c r="L1855" s="18"/>
      <c r="M1855" s="18"/>
      <c r="N1855" s="18"/>
      <c r="O1855" s="18"/>
    </row>
    <row r="1856" spans="7:15" x14ac:dyDescent="0.2">
      <c r="G1856" s="18"/>
      <c r="H1856" s="18"/>
      <c r="I1856" s="18"/>
      <c r="J1856" s="18"/>
      <c r="K1856" s="18"/>
      <c r="L1856" s="18"/>
      <c r="M1856" s="18"/>
      <c r="N1856" s="18"/>
      <c r="O1856" s="18"/>
    </row>
    <row r="1857" spans="7:15" x14ac:dyDescent="0.2">
      <c r="G1857" s="18"/>
      <c r="H1857" s="18"/>
      <c r="I1857" s="18"/>
      <c r="J1857" s="18"/>
      <c r="K1857" s="18"/>
      <c r="L1857" s="18"/>
      <c r="M1857" s="18"/>
      <c r="N1857" s="18"/>
      <c r="O1857" s="18"/>
    </row>
    <row r="1858" spans="7:15" x14ac:dyDescent="0.2">
      <c r="G1858" s="18"/>
      <c r="H1858" s="18"/>
      <c r="I1858" s="18"/>
      <c r="J1858" s="18"/>
      <c r="K1858" s="18"/>
      <c r="L1858" s="18"/>
      <c r="M1858" s="18"/>
      <c r="N1858" s="18"/>
      <c r="O1858" s="18"/>
    </row>
    <row r="1859" spans="7:15" x14ac:dyDescent="0.2">
      <c r="G1859" s="18"/>
      <c r="H1859" s="18"/>
      <c r="I1859" s="18"/>
      <c r="J1859" s="18"/>
      <c r="K1859" s="18"/>
      <c r="L1859" s="18"/>
      <c r="M1859" s="18"/>
      <c r="N1859" s="18"/>
      <c r="O1859" s="18"/>
    </row>
    <row r="1860" spans="7:15" x14ac:dyDescent="0.2">
      <c r="G1860" s="18"/>
      <c r="H1860" s="18"/>
      <c r="I1860" s="18"/>
      <c r="J1860" s="18"/>
      <c r="K1860" s="18"/>
      <c r="L1860" s="18"/>
      <c r="M1860" s="18"/>
      <c r="N1860" s="18"/>
      <c r="O1860" s="18"/>
    </row>
    <row r="1861" spans="7:15" x14ac:dyDescent="0.2">
      <c r="G1861" s="18"/>
      <c r="H1861" s="18"/>
      <c r="I1861" s="18"/>
      <c r="J1861" s="18"/>
      <c r="K1861" s="18"/>
      <c r="L1861" s="18"/>
      <c r="M1861" s="18"/>
      <c r="N1861" s="18"/>
      <c r="O1861" s="18"/>
    </row>
    <row r="1862" spans="7:15" x14ac:dyDescent="0.2">
      <c r="G1862" s="18"/>
      <c r="H1862" s="18"/>
      <c r="I1862" s="18"/>
      <c r="J1862" s="18"/>
      <c r="K1862" s="18"/>
      <c r="L1862" s="18"/>
      <c r="M1862" s="18"/>
      <c r="N1862" s="18"/>
      <c r="O1862" s="18"/>
    </row>
    <row r="1863" spans="7:15" x14ac:dyDescent="0.2">
      <c r="G1863" s="18"/>
      <c r="H1863" s="18"/>
      <c r="I1863" s="18"/>
      <c r="J1863" s="18"/>
      <c r="K1863" s="18"/>
      <c r="L1863" s="18"/>
      <c r="M1863" s="18"/>
      <c r="N1863" s="18"/>
      <c r="O1863" s="18"/>
    </row>
    <row r="1864" spans="7:15" x14ac:dyDescent="0.2">
      <c r="G1864" s="18"/>
      <c r="H1864" s="18"/>
      <c r="I1864" s="18"/>
      <c r="J1864" s="18"/>
      <c r="K1864" s="18"/>
      <c r="L1864" s="18"/>
      <c r="M1864" s="18"/>
      <c r="N1864" s="18"/>
      <c r="O1864" s="18"/>
    </row>
    <row r="1865" spans="7:15" x14ac:dyDescent="0.2">
      <c r="G1865" s="18"/>
      <c r="H1865" s="18"/>
      <c r="I1865" s="18"/>
      <c r="J1865" s="18"/>
      <c r="K1865" s="18"/>
      <c r="L1865" s="18"/>
      <c r="M1865" s="18"/>
      <c r="N1865" s="18"/>
      <c r="O1865" s="18"/>
    </row>
    <row r="1866" spans="7:15" x14ac:dyDescent="0.2">
      <c r="G1866" s="18"/>
      <c r="H1866" s="18"/>
      <c r="I1866" s="18"/>
      <c r="J1866" s="18"/>
      <c r="K1866" s="18"/>
      <c r="L1866" s="18"/>
      <c r="M1866" s="18"/>
      <c r="N1866" s="18"/>
      <c r="O1866" s="18"/>
    </row>
    <row r="1867" spans="7:15" x14ac:dyDescent="0.2">
      <c r="G1867" s="18"/>
      <c r="H1867" s="18"/>
      <c r="I1867" s="18"/>
      <c r="J1867" s="18"/>
      <c r="K1867" s="18"/>
      <c r="L1867" s="18"/>
      <c r="M1867" s="18"/>
      <c r="N1867" s="18"/>
      <c r="O1867" s="18"/>
    </row>
    <row r="1868" spans="7:15" x14ac:dyDescent="0.2">
      <c r="G1868" s="18"/>
      <c r="H1868" s="18"/>
      <c r="I1868" s="18"/>
      <c r="J1868" s="18"/>
      <c r="K1868" s="18"/>
      <c r="L1868" s="18"/>
      <c r="M1868" s="18"/>
      <c r="N1868" s="18"/>
      <c r="O1868" s="18"/>
    </row>
    <row r="1869" spans="7:15" x14ac:dyDescent="0.2">
      <c r="G1869" s="18"/>
      <c r="H1869" s="18"/>
      <c r="I1869" s="18"/>
      <c r="J1869" s="18"/>
      <c r="K1869" s="18"/>
      <c r="L1869" s="18"/>
      <c r="M1869" s="18"/>
      <c r="N1869" s="18"/>
      <c r="O1869" s="18"/>
    </row>
    <row r="1870" spans="7:15" x14ac:dyDescent="0.2">
      <c r="G1870" s="18"/>
      <c r="H1870" s="18"/>
      <c r="I1870" s="18"/>
      <c r="J1870" s="18"/>
      <c r="K1870" s="18"/>
      <c r="L1870" s="18"/>
      <c r="M1870" s="18"/>
      <c r="N1870" s="18"/>
      <c r="O1870" s="18"/>
    </row>
    <row r="1871" spans="7:15" x14ac:dyDescent="0.2">
      <c r="G1871" s="18"/>
      <c r="H1871" s="18"/>
      <c r="I1871" s="18"/>
      <c r="J1871" s="18"/>
      <c r="K1871" s="18"/>
      <c r="L1871" s="18"/>
      <c r="M1871" s="18"/>
      <c r="N1871" s="18"/>
      <c r="O1871" s="18"/>
    </row>
    <row r="1872" spans="7:15" x14ac:dyDescent="0.2">
      <c r="G1872" s="18"/>
      <c r="H1872" s="18"/>
      <c r="I1872" s="18"/>
      <c r="J1872" s="18"/>
      <c r="K1872" s="18"/>
      <c r="L1872" s="18"/>
      <c r="M1872" s="18"/>
      <c r="N1872" s="18"/>
      <c r="O1872" s="18"/>
    </row>
    <row r="1873" spans="7:15" x14ac:dyDescent="0.2">
      <c r="G1873" s="18"/>
      <c r="H1873" s="18"/>
      <c r="I1873" s="18"/>
      <c r="J1873" s="18"/>
      <c r="K1873" s="18"/>
      <c r="L1873" s="18"/>
      <c r="M1873" s="18"/>
      <c r="N1873" s="18"/>
      <c r="O1873" s="18"/>
    </row>
    <row r="1874" spans="7:15" x14ac:dyDescent="0.2">
      <c r="G1874" s="18"/>
      <c r="H1874" s="18"/>
      <c r="I1874" s="18"/>
      <c r="J1874" s="18"/>
      <c r="K1874" s="18"/>
      <c r="L1874" s="18"/>
      <c r="M1874" s="18"/>
      <c r="N1874" s="18"/>
      <c r="O1874" s="18"/>
    </row>
    <row r="1875" spans="7:15" x14ac:dyDescent="0.2">
      <c r="G1875" s="18"/>
      <c r="H1875" s="18"/>
      <c r="I1875" s="18"/>
      <c r="J1875" s="18"/>
      <c r="K1875" s="18"/>
      <c r="L1875" s="18"/>
      <c r="M1875" s="18"/>
      <c r="N1875" s="18"/>
      <c r="O1875" s="18"/>
    </row>
    <row r="1876" spans="7:15" x14ac:dyDescent="0.2">
      <c r="G1876" s="18"/>
      <c r="H1876" s="18"/>
      <c r="I1876" s="18"/>
      <c r="J1876" s="18"/>
      <c r="K1876" s="18"/>
      <c r="L1876" s="18"/>
      <c r="M1876" s="18"/>
      <c r="N1876" s="18"/>
      <c r="O1876" s="18"/>
    </row>
    <row r="1877" spans="7:15" x14ac:dyDescent="0.2">
      <c r="G1877" s="18"/>
      <c r="H1877" s="18"/>
      <c r="I1877" s="18"/>
      <c r="J1877" s="18"/>
      <c r="K1877" s="18"/>
      <c r="L1877" s="18"/>
      <c r="M1877" s="18"/>
      <c r="N1877" s="18"/>
      <c r="O1877" s="18"/>
    </row>
    <row r="1878" spans="7:15" x14ac:dyDescent="0.2">
      <c r="G1878" s="18"/>
      <c r="H1878" s="18"/>
      <c r="I1878" s="18"/>
      <c r="J1878" s="18"/>
      <c r="K1878" s="18"/>
      <c r="L1878" s="18"/>
      <c r="M1878" s="18"/>
      <c r="N1878" s="18"/>
      <c r="O1878" s="18"/>
    </row>
    <row r="1879" spans="7:15" x14ac:dyDescent="0.2">
      <c r="G1879" s="18"/>
      <c r="H1879" s="18"/>
      <c r="I1879" s="18"/>
      <c r="J1879" s="18"/>
      <c r="K1879" s="18"/>
      <c r="L1879" s="18"/>
      <c r="M1879" s="18"/>
      <c r="N1879" s="18"/>
      <c r="O1879" s="18"/>
    </row>
    <row r="1880" spans="7:15" x14ac:dyDescent="0.2">
      <c r="G1880" s="18"/>
      <c r="H1880" s="18"/>
      <c r="I1880" s="18"/>
      <c r="J1880" s="18"/>
      <c r="K1880" s="18"/>
      <c r="L1880" s="18"/>
      <c r="M1880" s="18"/>
      <c r="N1880" s="18"/>
      <c r="O1880" s="18"/>
    </row>
    <row r="1881" spans="7:15" x14ac:dyDescent="0.2">
      <c r="G1881" s="18"/>
      <c r="H1881" s="18"/>
      <c r="I1881" s="18"/>
      <c r="J1881" s="18"/>
      <c r="K1881" s="18"/>
      <c r="L1881" s="18"/>
      <c r="M1881" s="18"/>
      <c r="N1881" s="18"/>
      <c r="O1881" s="18"/>
    </row>
    <row r="1882" spans="7:15" x14ac:dyDescent="0.2">
      <c r="G1882" s="18"/>
      <c r="H1882" s="18"/>
      <c r="I1882" s="18"/>
      <c r="J1882" s="18"/>
      <c r="K1882" s="18"/>
      <c r="L1882" s="18"/>
      <c r="M1882" s="18"/>
      <c r="N1882" s="18"/>
      <c r="O1882" s="18"/>
    </row>
    <row r="1883" spans="7:15" x14ac:dyDescent="0.2">
      <c r="G1883" s="18"/>
      <c r="H1883" s="18"/>
      <c r="I1883" s="18"/>
      <c r="J1883" s="18"/>
      <c r="K1883" s="18"/>
      <c r="L1883" s="18"/>
      <c r="M1883" s="18"/>
      <c r="N1883" s="18"/>
      <c r="O1883" s="18"/>
    </row>
    <row r="1884" spans="7:15" x14ac:dyDescent="0.2">
      <c r="G1884" s="18"/>
      <c r="H1884" s="18"/>
      <c r="I1884" s="18"/>
      <c r="J1884" s="18"/>
      <c r="K1884" s="18"/>
      <c r="L1884" s="18"/>
      <c r="M1884" s="18"/>
      <c r="N1884" s="18"/>
      <c r="O1884" s="18"/>
    </row>
    <row r="1885" spans="7:15" x14ac:dyDescent="0.2">
      <c r="G1885" s="18"/>
      <c r="H1885" s="18"/>
      <c r="I1885" s="18"/>
      <c r="J1885" s="18"/>
      <c r="K1885" s="18"/>
      <c r="L1885" s="18"/>
      <c r="M1885" s="18"/>
      <c r="N1885" s="18"/>
      <c r="O1885" s="18"/>
    </row>
    <row r="1886" spans="7:15" x14ac:dyDescent="0.2">
      <c r="G1886" s="18"/>
      <c r="H1886" s="18"/>
      <c r="I1886" s="18"/>
      <c r="J1886" s="18"/>
      <c r="K1886" s="18"/>
      <c r="L1886" s="18"/>
      <c r="M1886" s="18"/>
      <c r="N1886" s="18"/>
      <c r="O1886" s="18"/>
    </row>
    <row r="1887" spans="7:15" x14ac:dyDescent="0.2">
      <c r="G1887" s="18"/>
      <c r="H1887" s="18"/>
      <c r="I1887" s="18"/>
      <c r="J1887" s="18"/>
      <c r="K1887" s="18"/>
      <c r="L1887" s="18"/>
      <c r="M1887" s="18"/>
      <c r="N1887" s="18"/>
      <c r="O1887" s="18"/>
    </row>
    <row r="1888" spans="7:15" x14ac:dyDescent="0.2">
      <c r="G1888" s="18"/>
      <c r="H1888" s="18"/>
      <c r="I1888" s="18"/>
      <c r="J1888" s="18"/>
      <c r="K1888" s="18"/>
      <c r="L1888" s="18"/>
      <c r="M1888" s="18"/>
      <c r="N1888" s="18"/>
      <c r="O1888" s="18"/>
    </row>
    <row r="1889" spans="7:15" x14ac:dyDescent="0.2">
      <c r="G1889" s="18"/>
      <c r="H1889" s="18"/>
      <c r="I1889" s="18"/>
      <c r="J1889" s="18"/>
      <c r="K1889" s="18"/>
      <c r="L1889" s="18"/>
      <c r="M1889" s="18"/>
      <c r="N1889" s="18"/>
      <c r="O1889" s="18"/>
    </row>
    <row r="1890" spans="7:15" x14ac:dyDescent="0.2">
      <c r="G1890" s="18"/>
      <c r="H1890" s="18"/>
      <c r="I1890" s="18"/>
      <c r="J1890" s="18"/>
      <c r="K1890" s="18"/>
      <c r="L1890" s="18"/>
      <c r="M1890" s="18"/>
      <c r="N1890" s="18"/>
      <c r="O1890" s="18"/>
    </row>
    <row r="1891" spans="7:15" x14ac:dyDescent="0.2">
      <c r="G1891" s="18"/>
      <c r="H1891" s="18"/>
      <c r="I1891" s="18"/>
      <c r="J1891" s="18"/>
      <c r="K1891" s="18"/>
      <c r="L1891" s="18"/>
      <c r="M1891" s="18"/>
      <c r="N1891" s="18"/>
      <c r="O1891" s="18"/>
    </row>
    <row r="1892" spans="7:15" x14ac:dyDescent="0.2">
      <c r="G1892" s="18"/>
      <c r="H1892" s="18"/>
      <c r="I1892" s="18"/>
      <c r="J1892" s="18"/>
      <c r="K1892" s="18"/>
      <c r="L1892" s="18"/>
      <c r="M1892" s="18"/>
      <c r="N1892" s="18"/>
      <c r="O1892" s="18"/>
    </row>
    <row r="1893" spans="7:15" x14ac:dyDescent="0.2">
      <c r="G1893" s="18"/>
      <c r="H1893" s="18"/>
      <c r="I1893" s="18"/>
      <c r="J1893" s="18"/>
      <c r="K1893" s="18"/>
      <c r="L1893" s="18"/>
      <c r="M1893" s="18"/>
      <c r="N1893" s="18"/>
      <c r="O1893" s="18"/>
    </row>
    <row r="1894" spans="7:15" x14ac:dyDescent="0.2">
      <c r="G1894" s="18"/>
      <c r="H1894" s="18"/>
      <c r="I1894" s="18"/>
      <c r="J1894" s="18"/>
      <c r="K1894" s="18"/>
      <c r="L1894" s="18"/>
      <c r="M1894" s="18"/>
      <c r="N1894" s="18"/>
      <c r="O1894" s="18"/>
    </row>
    <row r="1895" spans="7:15" x14ac:dyDescent="0.2">
      <c r="G1895" s="18"/>
      <c r="H1895" s="18"/>
      <c r="I1895" s="18"/>
      <c r="J1895" s="18"/>
      <c r="K1895" s="18"/>
      <c r="L1895" s="18"/>
      <c r="M1895" s="18"/>
      <c r="N1895" s="18"/>
      <c r="O1895" s="18"/>
    </row>
    <row r="1896" spans="7:15" x14ac:dyDescent="0.2">
      <c r="G1896" s="18"/>
      <c r="H1896" s="18"/>
      <c r="I1896" s="18"/>
      <c r="J1896" s="18"/>
      <c r="K1896" s="18"/>
      <c r="L1896" s="18"/>
      <c r="M1896" s="18"/>
      <c r="N1896" s="18"/>
      <c r="O1896" s="18"/>
    </row>
    <row r="1897" spans="7:15" x14ac:dyDescent="0.2">
      <c r="G1897" s="18"/>
      <c r="H1897" s="18"/>
      <c r="I1897" s="18"/>
      <c r="J1897" s="18"/>
      <c r="K1897" s="18"/>
      <c r="L1897" s="18"/>
      <c r="M1897" s="18"/>
      <c r="N1897" s="18"/>
      <c r="O1897" s="18"/>
    </row>
    <row r="1898" spans="7:15" x14ac:dyDescent="0.2">
      <c r="G1898" s="18"/>
      <c r="H1898" s="18"/>
      <c r="I1898" s="18"/>
      <c r="J1898" s="18"/>
      <c r="K1898" s="18"/>
      <c r="L1898" s="18"/>
      <c r="M1898" s="18"/>
      <c r="N1898" s="18"/>
      <c r="O1898" s="18"/>
    </row>
    <row r="1899" spans="7:15" x14ac:dyDescent="0.2">
      <c r="G1899" s="18"/>
      <c r="H1899" s="18"/>
      <c r="I1899" s="18"/>
      <c r="J1899" s="18"/>
      <c r="K1899" s="18"/>
      <c r="L1899" s="18"/>
      <c r="M1899" s="18"/>
      <c r="N1899" s="18"/>
      <c r="O1899" s="18"/>
    </row>
    <row r="1900" spans="7:15" x14ac:dyDescent="0.2">
      <c r="G1900" s="18"/>
      <c r="H1900" s="18"/>
      <c r="I1900" s="18"/>
      <c r="J1900" s="18"/>
      <c r="K1900" s="18"/>
      <c r="L1900" s="18"/>
      <c r="M1900" s="18"/>
      <c r="N1900" s="18"/>
      <c r="O1900" s="18"/>
    </row>
    <row r="1901" spans="7:15" x14ac:dyDescent="0.2">
      <c r="G1901" s="18"/>
      <c r="H1901" s="18"/>
      <c r="I1901" s="18"/>
      <c r="J1901" s="18"/>
      <c r="K1901" s="18"/>
      <c r="L1901" s="18"/>
      <c r="M1901" s="18"/>
      <c r="N1901" s="18"/>
      <c r="O1901" s="18"/>
    </row>
    <row r="1902" spans="7:15" x14ac:dyDescent="0.2">
      <c r="G1902" s="18"/>
      <c r="H1902" s="18"/>
      <c r="I1902" s="18"/>
      <c r="J1902" s="18"/>
      <c r="K1902" s="18"/>
      <c r="L1902" s="18"/>
      <c r="M1902" s="18"/>
      <c r="N1902" s="18"/>
      <c r="O1902" s="18"/>
    </row>
    <row r="1903" spans="7:15" x14ac:dyDescent="0.2">
      <c r="G1903" s="18"/>
      <c r="H1903" s="18"/>
      <c r="I1903" s="18"/>
      <c r="J1903" s="18"/>
      <c r="K1903" s="18"/>
      <c r="L1903" s="18"/>
      <c r="M1903" s="18"/>
      <c r="N1903" s="18"/>
      <c r="O1903" s="18"/>
    </row>
    <row r="1904" spans="7:15" x14ac:dyDescent="0.2">
      <c r="G1904" s="18"/>
      <c r="H1904" s="18"/>
      <c r="I1904" s="18"/>
      <c r="J1904" s="18"/>
      <c r="K1904" s="18"/>
      <c r="L1904" s="18"/>
      <c r="M1904" s="18"/>
      <c r="N1904" s="18"/>
      <c r="O1904" s="18"/>
    </row>
    <row r="1905" spans="7:15" x14ac:dyDescent="0.2">
      <c r="G1905" s="18"/>
      <c r="H1905" s="18"/>
      <c r="I1905" s="18"/>
      <c r="J1905" s="18"/>
      <c r="K1905" s="18"/>
      <c r="L1905" s="18"/>
      <c r="M1905" s="18"/>
      <c r="N1905" s="18"/>
      <c r="O1905" s="18"/>
    </row>
    <row r="1906" spans="7:15" x14ac:dyDescent="0.2">
      <c r="G1906" s="18"/>
      <c r="H1906" s="18"/>
      <c r="I1906" s="18"/>
      <c r="J1906" s="18"/>
      <c r="K1906" s="18"/>
      <c r="L1906" s="18"/>
      <c r="M1906" s="18"/>
      <c r="N1906" s="18"/>
      <c r="O1906" s="18"/>
    </row>
    <row r="1907" spans="7:15" x14ac:dyDescent="0.2">
      <c r="G1907" s="18"/>
      <c r="H1907" s="18"/>
      <c r="I1907" s="18"/>
      <c r="J1907" s="18"/>
      <c r="K1907" s="18"/>
      <c r="L1907" s="18"/>
      <c r="M1907" s="18"/>
      <c r="N1907" s="18"/>
      <c r="O1907" s="18"/>
    </row>
    <row r="1908" spans="7:15" x14ac:dyDescent="0.2">
      <c r="G1908" s="18"/>
      <c r="H1908" s="18"/>
      <c r="I1908" s="18"/>
      <c r="J1908" s="18"/>
      <c r="K1908" s="18"/>
      <c r="L1908" s="18"/>
      <c r="M1908" s="18"/>
      <c r="N1908" s="18"/>
      <c r="O1908" s="18"/>
    </row>
    <row r="1909" spans="7:15" x14ac:dyDescent="0.2">
      <c r="G1909" s="18"/>
      <c r="H1909" s="18"/>
      <c r="I1909" s="18"/>
      <c r="J1909" s="18"/>
      <c r="K1909" s="18"/>
      <c r="L1909" s="18"/>
      <c r="M1909" s="18"/>
      <c r="N1909" s="18"/>
      <c r="O1909" s="18"/>
    </row>
    <row r="1910" spans="7:15" x14ac:dyDescent="0.2">
      <c r="G1910" s="18"/>
      <c r="H1910" s="18"/>
      <c r="I1910" s="18"/>
      <c r="J1910" s="18"/>
      <c r="K1910" s="18"/>
      <c r="L1910" s="18"/>
      <c r="M1910" s="18"/>
      <c r="N1910" s="18"/>
      <c r="O1910" s="18"/>
    </row>
    <row r="1911" spans="7:15" x14ac:dyDescent="0.2">
      <c r="G1911" s="18"/>
      <c r="H1911" s="18"/>
      <c r="I1911" s="18"/>
      <c r="J1911" s="18"/>
      <c r="K1911" s="18"/>
      <c r="L1911" s="18"/>
      <c r="M1911" s="18"/>
      <c r="N1911" s="18"/>
      <c r="O1911" s="18"/>
    </row>
    <row r="1912" spans="7:15" x14ac:dyDescent="0.2">
      <c r="G1912" s="18"/>
      <c r="H1912" s="18"/>
      <c r="I1912" s="18"/>
      <c r="J1912" s="18"/>
      <c r="K1912" s="18"/>
      <c r="L1912" s="18"/>
      <c r="M1912" s="18"/>
      <c r="N1912" s="18"/>
      <c r="O1912" s="18"/>
    </row>
    <row r="1913" spans="7:15" x14ac:dyDescent="0.2">
      <c r="G1913" s="18"/>
      <c r="H1913" s="18"/>
      <c r="I1913" s="18"/>
      <c r="J1913" s="18"/>
      <c r="K1913" s="18"/>
      <c r="L1913" s="18"/>
      <c r="M1913" s="18"/>
      <c r="N1913" s="18"/>
      <c r="O1913" s="18"/>
    </row>
    <row r="1914" spans="7:15" x14ac:dyDescent="0.2">
      <c r="G1914" s="18"/>
      <c r="H1914" s="18"/>
      <c r="I1914" s="18"/>
      <c r="J1914" s="18"/>
      <c r="K1914" s="18"/>
      <c r="L1914" s="18"/>
      <c r="M1914" s="18"/>
      <c r="N1914" s="18"/>
      <c r="O1914" s="18"/>
    </row>
    <row r="1915" spans="7:15" x14ac:dyDescent="0.2">
      <c r="G1915" s="18"/>
      <c r="H1915" s="18"/>
      <c r="I1915" s="18"/>
      <c r="J1915" s="18"/>
      <c r="K1915" s="18"/>
      <c r="L1915" s="18"/>
      <c r="M1915" s="18"/>
      <c r="N1915" s="18"/>
      <c r="O1915" s="18"/>
    </row>
    <row r="1916" spans="7:15" x14ac:dyDescent="0.2">
      <c r="G1916" s="18"/>
      <c r="H1916" s="18"/>
      <c r="I1916" s="18"/>
      <c r="J1916" s="18"/>
      <c r="K1916" s="18"/>
      <c r="L1916" s="18"/>
      <c r="M1916" s="18"/>
      <c r="N1916" s="18"/>
      <c r="O1916" s="18"/>
    </row>
    <row r="1917" spans="7:15" x14ac:dyDescent="0.2">
      <c r="G1917" s="18"/>
      <c r="H1917" s="18"/>
      <c r="I1917" s="18"/>
      <c r="J1917" s="18"/>
      <c r="K1917" s="18"/>
      <c r="L1917" s="18"/>
      <c r="M1917" s="18"/>
      <c r="N1917" s="18"/>
      <c r="O1917" s="18"/>
    </row>
    <row r="1918" spans="7:15" x14ac:dyDescent="0.2">
      <c r="G1918" s="18"/>
      <c r="H1918" s="18"/>
      <c r="I1918" s="18"/>
      <c r="J1918" s="18"/>
      <c r="K1918" s="18"/>
      <c r="L1918" s="18"/>
      <c r="M1918" s="18"/>
      <c r="N1918" s="18"/>
      <c r="O1918" s="18"/>
    </row>
    <row r="1919" spans="7:15" x14ac:dyDescent="0.2">
      <c r="G1919" s="18"/>
      <c r="H1919" s="18"/>
      <c r="I1919" s="18"/>
      <c r="J1919" s="18"/>
      <c r="K1919" s="18"/>
      <c r="L1919" s="18"/>
      <c r="M1919" s="18"/>
      <c r="N1919" s="18"/>
      <c r="O1919" s="18"/>
    </row>
    <row r="1920" spans="7:15" x14ac:dyDescent="0.2">
      <c r="G1920" s="18"/>
      <c r="H1920" s="18"/>
      <c r="I1920" s="18"/>
      <c r="J1920" s="18"/>
      <c r="K1920" s="18"/>
      <c r="L1920" s="18"/>
      <c r="M1920" s="18"/>
      <c r="N1920" s="18"/>
      <c r="O1920" s="18"/>
    </row>
    <row r="1921" spans="7:15" x14ac:dyDescent="0.2">
      <c r="G1921" s="18"/>
      <c r="H1921" s="18"/>
      <c r="I1921" s="18"/>
      <c r="J1921" s="18"/>
      <c r="K1921" s="18"/>
      <c r="L1921" s="18"/>
      <c r="M1921" s="18"/>
      <c r="N1921" s="18"/>
      <c r="O1921" s="18"/>
    </row>
    <row r="1922" spans="7:15" x14ac:dyDescent="0.2">
      <c r="G1922" s="18"/>
      <c r="H1922" s="18"/>
      <c r="I1922" s="18"/>
      <c r="J1922" s="18"/>
      <c r="K1922" s="18"/>
      <c r="L1922" s="18"/>
      <c r="M1922" s="18"/>
      <c r="N1922" s="18"/>
      <c r="O1922" s="18"/>
    </row>
    <row r="1923" spans="7:15" x14ac:dyDescent="0.2">
      <c r="G1923" s="18"/>
      <c r="H1923" s="18"/>
      <c r="I1923" s="18"/>
      <c r="J1923" s="18"/>
      <c r="K1923" s="18"/>
      <c r="L1923" s="18"/>
      <c r="M1923" s="18"/>
      <c r="N1923" s="18"/>
      <c r="O1923" s="18"/>
    </row>
    <row r="1924" spans="7:15" x14ac:dyDescent="0.2">
      <c r="G1924" s="18"/>
      <c r="H1924" s="18"/>
      <c r="I1924" s="18"/>
      <c r="J1924" s="18"/>
      <c r="K1924" s="18"/>
      <c r="L1924" s="18"/>
      <c r="M1924" s="18"/>
      <c r="N1924" s="18"/>
      <c r="O1924" s="18"/>
    </row>
    <row r="1925" spans="7:15" x14ac:dyDescent="0.2">
      <c r="G1925" s="18"/>
      <c r="H1925" s="18"/>
      <c r="I1925" s="18"/>
      <c r="J1925" s="18"/>
      <c r="K1925" s="18"/>
      <c r="L1925" s="18"/>
      <c r="M1925" s="18"/>
      <c r="N1925" s="18"/>
      <c r="O1925" s="18"/>
    </row>
    <row r="1926" spans="7:15" x14ac:dyDescent="0.2">
      <c r="G1926" s="18"/>
      <c r="H1926" s="18"/>
      <c r="I1926" s="18"/>
      <c r="J1926" s="18"/>
      <c r="K1926" s="18"/>
      <c r="L1926" s="18"/>
      <c r="M1926" s="18"/>
      <c r="N1926" s="18"/>
      <c r="O1926" s="18"/>
    </row>
    <row r="1927" spans="7:15" x14ac:dyDescent="0.2">
      <c r="G1927" s="18"/>
      <c r="H1927" s="18"/>
      <c r="I1927" s="18"/>
      <c r="J1927" s="18"/>
      <c r="K1927" s="18"/>
      <c r="L1927" s="18"/>
      <c r="M1927" s="18"/>
      <c r="N1927" s="18"/>
      <c r="O1927" s="18"/>
    </row>
    <row r="1928" spans="7:15" x14ac:dyDescent="0.2">
      <c r="G1928" s="18"/>
      <c r="H1928" s="18"/>
      <c r="I1928" s="18"/>
      <c r="J1928" s="18"/>
      <c r="K1928" s="18"/>
      <c r="L1928" s="18"/>
      <c r="M1928" s="18"/>
      <c r="N1928" s="18"/>
      <c r="O1928" s="18"/>
    </row>
    <row r="1929" spans="7:15" x14ac:dyDescent="0.2">
      <c r="G1929" s="18"/>
      <c r="H1929" s="18"/>
      <c r="I1929" s="18"/>
      <c r="J1929" s="18"/>
      <c r="K1929" s="18"/>
      <c r="L1929" s="18"/>
      <c r="M1929" s="18"/>
      <c r="N1929" s="18"/>
      <c r="O1929" s="18"/>
    </row>
    <row r="1930" spans="7:15" x14ac:dyDescent="0.2">
      <c r="G1930" s="18"/>
      <c r="H1930" s="18"/>
      <c r="I1930" s="18"/>
      <c r="J1930" s="18"/>
      <c r="K1930" s="18"/>
      <c r="L1930" s="18"/>
      <c r="M1930" s="18"/>
      <c r="N1930" s="18"/>
      <c r="O1930" s="18"/>
    </row>
    <row r="1931" spans="7:15" x14ac:dyDescent="0.2">
      <c r="G1931" s="18"/>
      <c r="H1931" s="18"/>
      <c r="I1931" s="18"/>
      <c r="J1931" s="18"/>
      <c r="K1931" s="18"/>
      <c r="L1931" s="18"/>
      <c r="M1931" s="18"/>
      <c r="N1931" s="18"/>
      <c r="O1931" s="18"/>
    </row>
    <row r="1932" spans="7:15" x14ac:dyDescent="0.2">
      <c r="G1932" s="18"/>
      <c r="H1932" s="18"/>
      <c r="I1932" s="18"/>
      <c r="J1932" s="18"/>
      <c r="K1932" s="18"/>
      <c r="L1932" s="18"/>
      <c r="M1932" s="18"/>
      <c r="N1932" s="18"/>
      <c r="O1932" s="18"/>
    </row>
    <row r="1933" spans="7:15" x14ac:dyDescent="0.2">
      <c r="G1933" s="18"/>
      <c r="H1933" s="18"/>
      <c r="I1933" s="18"/>
      <c r="J1933" s="18"/>
      <c r="K1933" s="18"/>
      <c r="L1933" s="18"/>
      <c r="M1933" s="18"/>
      <c r="N1933" s="18"/>
      <c r="O1933" s="18"/>
    </row>
    <row r="1934" spans="7:15" x14ac:dyDescent="0.2">
      <c r="G1934" s="18"/>
      <c r="H1934" s="18"/>
      <c r="I1934" s="18"/>
      <c r="J1934" s="18"/>
      <c r="K1934" s="18"/>
      <c r="L1934" s="18"/>
      <c r="M1934" s="18"/>
      <c r="N1934" s="18"/>
      <c r="O1934" s="18"/>
    </row>
    <row r="1935" spans="7:15" x14ac:dyDescent="0.2">
      <c r="G1935" s="18"/>
      <c r="H1935" s="18"/>
      <c r="I1935" s="18"/>
      <c r="J1935" s="18"/>
      <c r="K1935" s="18"/>
      <c r="L1935" s="18"/>
      <c r="M1935" s="18"/>
      <c r="N1935" s="18"/>
      <c r="O1935" s="18"/>
    </row>
    <row r="1936" spans="7:15" x14ac:dyDescent="0.2">
      <c r="G1936" s="18"/>
      <c r="H1936" s="18"/>
      <c r="I1936" s="18"/>
      <c r="J1936" s="18"/>
      <c r="K1936" s="18"/>
      <c r="L1936" s="18"/>
      <c r="M1936" s="18"/>
      <c r="N1936" s="18"/>
      <c r="O1936" s="18"/>
    </row>
    <row r="1937" spans="7:15" x14ac:dyDescent="0.2">
      <c r="G1937" s="18"/>
      <c r="H1937" s="18"/>
      <c r="I1937" s="18"/>
      <c r="J1937" s="18"/>
      <c r="K1937" s="18"/>
      <c r="L1937" s="18"/>
      <c r="M1937" s="18"/>
      <c r="N1937" s="18"/>
      <c r="O1937" s="18"/>
    </row>
    <row r="1938" spans="7:15" x14ac:dyDescent="0.2">
      <c r="G1938" s="18"/>
      <c r="H1938" s="18"/>
      <c r="I1938" s="18"/>
      <c r="J1938" s="18"/>
      <c r="K1938" s="18"/>
      <c r="L1938" s="18"/>
      <c r="M1938" s="18"/>
      <c r="N1938" s="18"/>
      <c r="O1938" s="18"/>
    </row>
    <row r="1939" spans="7:15" x14ac:dyDescent="0.2">
      <c r="G1939" s="18"/>
      <c r="H1939" s="18"/>
      <c r="I1939" s="18"/>
      <c r="J1939" s="18"/>
      <c r="K1939" s="18"/>
      <c r="L1939" s="18"/>
      <c r="M1939" s="18"/>
      <c r="N1939" s="18"/>
      <c r="O1939" s="18"/>
    </row>
    <row r="1940" spans="7:15" x14ac:dyDescent="0.2">
      <c r="G1940" s="18"/>
      <c r="H1940" s="18"/>
      <c r="I1940" s="18"/>
      <c r="J1940" s="18"/>
      <c r="K1940" s="18"/>
      <c r="L1940" s="18"/>
      <c r="M1940" s="18"/>
      <c r="N1940" s="18"/>
      <c r="O1940" s="18"/>
    </row>
    <row r="1941" spans="7:15" x14ac:dyDescent="0.2">
      <c r="G1941" s="18"/>
      <c r="H1941" s="18"/>
      <c r="I1941" s="18"/>
      <c r="J1941" s="18"/>
      <c r="K1941" s="18"/>
      <c r="L1941" s="18"/>
      <c r="M1941" s="18"/>
      <c r="N1941" s="18"/>
      <c r="O1941" s="18"/>
    </row>
    <row r="1942" spans="7:15" x14ac:dyDescent="0.2">
      <c r="G1942" s="18"/>
      <c r="H1942" s="18"/>
      <c r="I1942" s="18"/>
      <c r="J1942" s="18"/>
      <c r="K1942" s="18"/>
      <c r="L1942" s="18"/>
      <c r="M1942" s="18"/>
      <c r="N1942" s="18"/>
      <c r="O1942" s="18"/>
    </row>
    <row r="1943" spans="7:15" x14ac:dyDescent="0.2">
      <c r="G1943" s="18"/>
      <c r="H1943" s="18"/>
      <c r="I1943" s="18"/>
      <c r="J1943" s="18"/>
      <c r="K1943" s="18"/>
      <c r="L1943" s="18"/>
      <c r="M1943" s="18"/>
      <c r="N1943" s="18"/>
      <c r="O1943" s="18"/>
    </row>
    <row r="1944" spans="7:15" x14ac:dyDescent="0.2">
      <c r="G1944" s="18"/>
      <c r="H1944" s="18"/>
      <c r="I1944" s="18"/>
      <c r="J1944" s="18"/>
      <c r="K1944" s="18"/>
      <c r="L1944" s="18"/>
      <c r="M1944" s="18"/>
      <c r="N1944" s="18"/>
      <c r="O1944" s="18"/>
    </row>
    <row r="1945" spans="7:15" x14ac:dyDescent="0.2">
      <c r="G1945" s="18"/>
      <c r="H1945" s="18"/>
      <c r="I1945" s="18"/>
      <c r="J1945" s="18"/>
      <c r="K1945" s="18"/>
      <c r="L1945" s="18"/>
      <c r="M1945" s="18"/>
      <c r="N1945" s="18"/>
      <c r="O1945" s="18"/>
    </row>
    <row r="1946" spans="7:15" x14ac:dyDescent="0.2">
      <c r="G1946" s="18"/>
      <c r="H1946" s="18"/>
      <c r="I1946" s="18"/>
      <c r="J1946" s="18"/>
      <c r="K1946" s="18"/>
      <c r="L1946" s="18"/>
      <c r="M1946" s="18"/>
      <c r="N1946" s="18"/>
      <c r="O1946" s="18"/>
    </row>
    <row r="1947" spans="7:15" x14ac:dyDescent="0.2">
      <c r="G1947" s="18"/>
      <c r="H1947" s="18"/>
      <c r="I1947" s="18"/>
      <c r="J1947" s="18"/>
      <c r="K1947" s="18"/>
      <c r="L1947" s="18"/>
      <c r="M1947" s="18"/>
      <c r="N1947" s="18"/>
      <c r="O1947" s="18"/>
    </row>
    <row r="1948" spans="7:15" x14ac:dyDescent="0.2">
      <c r="G1948" s="18"/>
      <c r="H1948" s="18"/>
      <c r="I1948" s="18"/>
      <c r="J1948" s="18"/>
      <c r="K1948" s="18"/>
      <c r="L1948" s="18"/>
      <c r="M1948" s="18"/>
      <c r="N1948" s="18"/>
      <c r="O1948" s="18"/>
    </row>
    <row r="1949" spans="7:15" x14ac:dyDescent="0.2">
      <c r="G1949" s="18"/>
      <c r="H1949" s="18"/>
      <c r="I1949" s="18"/>
      <c r="J1949" s="18"/>
      <c r="K1949" s="18"/>
      <c r="L1949" s="18"/>
      <c r="M1949" s="18"/>
      <c r="N1949" s="18"/>
      <c r="O1949" s="18"/>
    </row>
    <row r="1950" spans="7:15" x14ac:dyDescent="0.2">
      <c r="G1950" s="18"/>
      <c r="H1950" s="18"/>
      <c r="I1950" s="18"/>
      <c r="J1950" s="18"/>
      <c r="K1950" s="18"/>
      <c r="L1950" s="18"/>
      <c r="M1950" s="18"/>
      <c r="N1950" s="18"/>
      <c r="O1950" s="18"/>
    </row>
    <row r="1951" spans="7:15" x14ac:dyDescent="0.2">
      <c r="G1951" s="18"/>
      <c r="H1951" s="18"/>
      <c r="I1951" s="18"/>
      <c r="J1951" s="18"/>
      <c r="K1951" s="18"/>
      <c r="L1951" s="18"/>
      <c r="M1951" s="18"/>
      <c r="N1951" s="18"/>
      <c r="O1951" s="18"/>
    </row>
    <row r="1952" spans="7:15" x14ac:dyDescent="0.2">
      <c r="G1952" s="18"/>
      <c r="H1952" s="18"/>
      <c r="I1952" s="18"/>
      <c r="J1952" s="18"/>
      <c r="K1952" s="18"/>
      <c r="L1952" s="18"/>
      <c r="M1952" s="18"/>
      <c r="N1952" s="18"/>
      <c r="O1952" s="18"/>
    </row>
    <row r="1953" spans="7:15" x14ac:dyDescent="0.2">
      <c r="G1953" s="18"/>
      <c r="H1953" s="18"/>
      <c r="I1953" s="18"/>
      <c r="J1953" s="18"/>
      <c r="K1953" s="18"/>
      <c r="L1953" s="18"/>
      <c r="M1953" s="18"/>
      <c r="N1953" s="18"/>
      <c r="O1953" s="18"/>
    </row>
    <row r="1954" spans="7:15" x14ac:dyDescent="0.2">
      <c r="G1954" s="18"/>
      <c r="H1954" s="18"/>
      <c r="I1954" s="18"/>
      <c r="J1954" s="18"/>
      <c r="K1954" s="18"/>
      <c r="L1954" s="18"/>
      <c r="M1954" s="18"/>
      <c r="N1954" s="18"/>
      <c r="O1954" s="18"/>
    </row>
    <row r="1955" spans="7:15" x14ac:dyDescent="0.2">
      <c r="G1955" s="18"/>
      <c r="H1955" s="18"/>
      <c r="I1955" s="18"/>
      <c r="J1955" s="18"/>
      <c r="K1955" s="18"/>
      <c r="L1955" s="18"/>
      <c r="M1955" s="18"/>
      <c r="N1955" s="18"/>
      <c r="O1955" s="18"/>
    </row>
    <row r="1956" spans="7:15" x14ac:dyDescent="0.2">
      <c r="G1956" s="18"/>
      <c r="H1956" s="18"/>
      <c r="I1956" s="18"/>
      <c r="J1956" s="18"/>
      <c r="K1956" s="18"/>
      <c r="L1956" s="18"/>
      <c r="M1956" s="18"/>
      <c r="N1956" s="18"/>
      <c r="O1956" s="18"/>
    </row>
    <row r="1957" spans="7:15" x14ac:dyDescent="0.2">
      <c r="G1957" s="18"/>
      <c r="H1957" s="18"/>
      <c r="I1957" s="18"/>
      <c r="J1957" s="18"/>
      <c r="K1957" s="18"/>
      <c r="L1957" s="18"/>
      <c r="M1957" s="18"/>
      <c r="N1957" s="18"/>
      <c r="O1957" s="18"/>
    </row>
    <row r="1958" spans="7:15" x14ac:dyDescent="0.2">
      <c r="G1958" s="18"/>
      <c r="H1958" s="18"/>
      <c r="I1958" s="18"/>
      <c r="J1958" s="18"/>
      <c r="K1958" s="18"/>
      <c r="L1958" s="18"/>
      <c r="M1958" s="18"/>
      <c r="N1958" s="18"/>
      <c r="O1958" s="18"/>
    </row>
    <row r="1959" spans="7:15" x14ac:dyDescent="0.2">
      <c r="G1959" s="18"/>
      <c r="H1959" s="18"/>
      <c r="I1959" s="18"/>
      <c r="J1959" s="18"/>
      <c r="K1959" s="18"/>
      <c r="L1959" s="18"/>
      <c r="M1959" s="18"/>
      <c r="N1959" s="18"/>
      <c r="O1959" s="18"/>
    </row>
    <row r="1960" spans="7:15" x14ac:dyDescent="0.2">
      <c r="G1960" s="18"/>
      <c r="H1960" s="18"/>
      <c r="I1960" s="18"/>
      <c r="J1960" s="18"/>
      <c r="K1960" s="18"/>
      <c r="L1960" s="18"/>
      <c r="M1960" s="18"/>
      <c r="N1960" s="18"/>
      <c r="O1960" s="18"/>
    </row>
    <row r="1961" spans="7:15" x14ac:dyDescent="0.2">
      <c r="G1961" s="18"/>
      <c r="H1961" s="18"/>
      <c r="I1961" s="18"/>
      <c r="J1961" s="18"/>
      <c r="K1961" s="18"/>
      <c r="L1961" s="18"/>
      <c r="M1961" s="18"/>
      <c r="N1961" s="18"/>
      <c r="O1961" s="18"/>
    </row>
    <row r="1962" spans="7:15" x14ac:dyDescent="0.2">
      <c r="G1962" s="18"/>
      <c r="H1962" s="18"/>
      <c r="I1962" s="18"/>
      <c r="J1962" s="18"/>
      <c r="K1962" s="18"/>
      <c r="L1962" s="18"/>
      <c r="M1962" s="18"/>
      <c r="N1962" s="18"/>
      <c r="O1962" s="18"/>
    </row>
    <row r="1963" spans="7:15" x14ac:dyDescent="0.2">
      <c r="G1963" s="18"/>
      <c r="H1963" s="18"/>
      <c r="I1963" s="18"/>
      <c r="J1963" s="18"/>
      <c r="K1963" s="18"/>
      <c r="L1963" s="18"/>
      <c r="M1963" s="18"/>
      <c r="N1963" s="18"/>
      <c r="O1963" s="18"/>
    </row>
    <row r="1964" spans="7:15" x14ac:dyDescent="0.2">
      <c r="G1964" s="18"/>
      <c r="H1964" s="18"/>
      <c r="I1964" s="18"/>
      <c r="J1964" s="18"/>
      <c r="K1964" s="18"/>
      <c r="L1964" s="18"/>
      <c r="M1964" s="18"/>
      <c r="N1964" s="18"/>
      <c r="O1964" s="18"/>
    </row>
    <row r="1965" spans="7:15" x14ac:dyDescent="0.2">
      <c r="G1965" s="18"/>
      <c r="H1965" s="18"/>
      <c r="I1965" s="18"/>
      <c r="J1965" s="18"/>
      <c r="K1965" s="18"/>
      <c r="L1965" s="18"/>
      <c r="M1965" s="18"/>
      <c r="N1965" s="18"/>
      <c r="O1965" s="18"/>
    </row>
    <row r="1966" spans="7:15" x14ac:dyDescent="0.2">
      <c r="G1966" s="18"/>
      <c r="H1966" s="18"/>
      <c r="I1966" s="18"/>
      <c r="J1966" s="18"/>
      <c r="K1966" s="18"/>
      <c r="L1966" s="18"/>
      <c r="M1966" s="18"/>
      <c r="N1966" s="18"/>
      <c r="O1966" s="18"/>
    </row>
    <row r="1967" spans="7:15" x14ac:dyDescent="0.2">
      <c r="G1967" s="18"/>
      <c r="H1967" s="18"/>
      <c r="I1967" s="18"/>
      <c r="J1967" s="18"/>
      <c r="K1967" s="18"/>
      <c r="L1967" s="18"/>
      <c r="M1967" s="18"/>
      <c r="N1967" s="18"/>
      <c r="O1967" s="18"/>
    </row>
    <row r="1968" spans="7:15" x14ac:dyDescent="0.2">
      <c r="G1968" s="18"/>
      <c r="H1968" s="18"/>
      <c r="I1968" s="18"/>
      <c r="J1968" s="18"/>
      <c r="K1968" s="18"/>
      <c r="L1968" s="18"/>
      <c r="M1968" s="18"/>
      <c r="N1968" s="18"/>
      <c r="O1968" s="18"/>
    </row>
    <row r="1969" spans="7:15" x14ac:dyDescent="0.2">
      <c r="G1969" s="18"/>
      <c r="H1969" s="18"/>
      <c r="I1969" s="18"/>
      <c r="J1969" s="18"/>
      <c r="K1969" s="18"/>
      <c r="L1969" s="18"/>
      <c r="M1969" s="18"/>
      <c r="N1969" s="18"/>
      <c r="O1969" s="18"/>
    </row>
    <row r="1970" spans="7:15" x14ac:dyDescent="0.2">
      <c r="G1970" s="18"/>
      <c r="H1970" s="18"/>
      <c r="I1970" s="18"/>
      <c r="J1970" s="18"/>
      <c r="K1970" s="18"/>
      <c r="L1970" s="18"/>
      <c r="M1970" s="18"/>
      <c r="N1970" s="18"/>
      <c r="O1970" s="18"/>
    </row>
    <row r="1971" spans="7:15" x14ac:dyDescent="0.2">
      <c r="G1971" s="18"/>
      <c r="H1971" s="18"/>
      <c r="I1971" s="18"/>
      <c r="J1971" s="18"/>
      <c r="K1971" s="18"/>
      <c r="L1971" s="18"/>
      <c r="M1971" s="18"/>
      <c r="N1971" s="18"/>
      <c r="O1971" s="18"/>
    </row>
    <row r="1972" spans="7:15" x14ac:dyDescent="0.2">
      <c r="G1972" s="18"/>
      <c r="H1972" s="18"/>
      <c r="I1972" s="18"/>
      <c r="J1972" s="18"/>
      <c r="K1972" s="18"/>
      <c r="L1972" s="18"/>
      <c r="M1972" s="18"/>
      <c r="N1972" s="18"/>
      <c r="O1972" s="18"/>
    </row>
    <row r="1973" spans="7:15" x14ac:dyDescent="0.2">
      <c r="G1973" s="18"/>
      <c r="H1973" s="18"/>
      <c r="I1973" s="18"/>
      <c r="J1973" s="18"/>
      <c r="K1973" s="18"/>
      <c r="L1973" s="18"/>
      <c r="M1973" s="18"/>
      <c r="N1973" s="18"/>
      <c r="O1973" s="18"/>
    </row>
    <row r="1974" spans="7:15" x14ac:dyDescent="0.2">
      <c r="G1974" s="18"/>
      <c r="H1974" s="18"/>
      <c r="I1974" s="18"/>
      <c r="J1974" s="18"/>
      <c r="K1974" s="18"/>
      <c r="L1974" s="18"/>
      <c r="M1974" s="18"/>
      <c r="N1974" s="18"/>
      <c r="O1974" s="18"/>
    </row>
    <row r="1975" spans="7:15" x14ac:dyDescent="0.2">
      <c r="G1975" s="18"/>
      <c r="H1975" s="18"/>
      <c r="I1975" s="18"/>
      <c r="J1975" s="18"/>
      <c r="K1975" s="18"/>
      <c r="L1975" s="18"/>
      <c r="M1975" s="18"/>
      <c r="N1975" s="18"/>
      <c r="O1975" s="18"/>
    </row>
    <row r="1976" spans="7:15" x14ac:dyDescent="0.2">
      <c r="G1976" s="18"/>
      <c r="H1976" s="18"/>
      <c r="I1976" s="18"/>
      <c r="J1976" s="18"/>
      <c r="K1976" s="18"/>
      <c r="L1976" s="18"/>
      <c r="M1976" s="18"/>
      <c r="N1976" s="18"/>
      <c r="O1976" s="18"/>
    </row>
    <row r="1977" spans="7:15" x14ac:dyDescent="0.2">
      <c r="G1977" s="18"/>
      <c r="H1977" s="18"/>
      <c r="I1977" s="18"/>
      <c r="J1977" s="18"/>
      <c r="K1977" s="18"/>
      <c r="L1977" s="18"/>
      <c r="M1977" s="18"/>
      <c r="N1977" s="18"/>
      <c r="O1977" s="18"/>
    </row>
    <row r="1978" spans="7:15" x14ac:dyDescent="0.2">
      <c r="G1978" s="18"/>
      <c r="H1978" s="18"/>
      <c r="I1978" s="18"/>
      <c r="J1978" s="18"/>
      <c r="K1978" s="18"/>
      <c r="L1978" s="18"/>
      <c r="M1978" s="18"/>
      <c r="N1978" s="18"/>
      <c r="O1978" s="18"/>
    </row>
    <row r="1979" spans="7:15" x14ac:dyDescent="0.2">
      <c r="G1979" s="18"/>
      <c r="H1979" s="18"/>
      <c r="I1979" s="18"/>
      <c r="J1979" s="18"/>
      <c r="K1979" s="18"/>
      <c r="L1979" s="18"/>
      <c r="M1979" s="18"/>
      <c r="N1979" s="18"/>
      <c r="O1979" s="18"/>
    </row>
    <row r="1980" spans="7:15" x14ac:dyDescent="0.2">
      <c r="G1980" s="18"/>
      <c r="H1980" s="18"/>
      <c r="I1980" s="18"/>
      <c r="J1980" s="18"/>
      <c r="K1980" s="18"/>
      <c r="L1980" s="18"/>
      <c r="M1980" s="18"/>
      <c r="N1980" s="18"/>
      <c r="O1980" s="18"/>
    </row>
    <row r="1981" spans="7:15" x14ac:dyDescent="0.2">
      <c r="G1981" s="18"/>
      <c r="H1981" s="18"/>
      <c r="I1981" s="18"/>
      <c r="J1981" s="18"/>
      <c r="K1981" s="18"/>
      <c r="L1981" s="18"/>
      <c r="M1981" s="18"/>
      <c r="N1981" s="18"/>
      <c r="O1981" s="18"/>
    </row>
    <row r="1982" spans="7:15" x14ac:dyDescent="0.2">
      <c r="G1982" s="18"/>
      <c r="H1982" s="18"/>
      <c r="I1982" s="18"/>
      <c r="J1982" s="18"/>
      <c r="K1982" s="18"/>
      <c r="L1982" s="18"/>
      <c r="M1982" s="18"/>
      <c r="N1982" s="18"/>
      <c r="O1982" s="18"/>
    </row>
    <row r="1983" spans="7:15" x14ac:dyDescent="0.2">
      <c r="G1983" s="18"/>
      <c r="H1983" s="18"/>
      <c r="I1983" s="18"/>
      <c r="J1983" s="18"/>
      <c r="K1983" s="18"/>
      <c r="L1983" s="18"/>
      <c r="M1983" s="18"/>
      <c r="N1983" s="18"/>
      <c r="O1983" s="18"/>
    </row>
    <row r="1984" spans="7:15" x14ac:dyDescent="0.2">
      <c r="G1984" s="18"/>
      <c r="H1984" s="18"/>
      <c r="I1984" s="18"/>
      <c r="J1984" s="18"/>
      <c r="K1984" s="18"/>
      <c r="L1984" s="18"/>
      <c r="M1984" s="18"/>
      <c r="N1984" s="18"/>
      <c r="O1984" s="18"/>
    </row>
    <row r="1985" spans="7:15" x14ac:dyDescent="0.2">
      <c r="G1985" s="18"/>
      <c r="H1985" s="18"/>
      <c r="I1985" s="18"/>
      <c r="J1985" s="18"/>
      <c r="K1985" s="18"/>
      <c r="L1985" s="18"/>
      <c r="M1985" s="18"/>
      <c r="N1985" s="18"/>
      <c r="O1985" s="18"/>
    </row>
    <row r="1986" spans="7:15" x14ac:dyDescent="0.2">
      <c r="G1986" s="18"/>
      <c r="H1986" s="18"/>
      <c r="I1986" s="18"/>
      <c r="J1986" s="18"/>
      <c r="K1986" s="18"/>
      <c r="L1986" s="18"/>
      <c r="M1986" s="18"/>
      <c r="N1986" s="18"/>
      <c r="O1986" s="18"/>
    </row>
    <row r="1987" spans="7:15" x14ac:dyDescent="0.2">
      <c r="G1987" s="18"/>
      <c r="H1987" s="18"/>
      <c r="I1987" s="18"/>
      <c r="J1987" s="18"/>
      <c r="K1987" s="18"/>
      <c r="L1987" s="18"/>
      <c r="M1987" s="18"/>
      <c r="N1987" s="18"/>
      <c r="O1987" s="18"/>
    </row>
    <row r="1988" spans="7:15" x14ac:dyDescent="0.2">
      <c r="G1988" s="18"/>
      <c r="H1988" s="18"/>
      <c r="I1988" s="18"/>
      <c r="J1988" s="18"/>
      <c r="K1988" s="18"/>
      <c r="L1988" s="18"/>
      <c r="M1988" s="18"/>
      <c r="N1988" s="18"/>
      <c r="O1988" s="18"/>
    </row>
    <row r="1989" spans="7:15" x14ac:dyDescent="0.2">
      <c r="G1989" s="18"/>
      <c r="H1989" s="18"/>
      <c r="I1989" s="18"/>
      <c r="J1989" s="18"/>
      <c r="K1989" s="18"/>
      <c r="L1989" s="18"/>
      <c r="M1989" s="18"/>
      <c r="N1989" s="18"/>
      <c r="O1989" s="18"/>
    </row>
    <row r="1990" spans="7:15" x14ac:dyDescent="0.2">
      <c r="G1990" s="18"/>
      <c r="H1990" s="18"/>
      <c r="I1990" s="18"/>
      <c r="J1990" s="18"/>
      <c r="K1990" s="18"/>
      <c r="L1990" s="18"/>
      <c r="M1990" s="18"/>
      <c r="N1990" s="18"/>
      <c r="O1990" s="18"/>
    </row>
    <row r="1991" spans="7:15" x14ac:dyDescent="0.2">
      <c r="G1991" s="18"/>
      <c r="H1991" s="18"/>
      <c r="I1991" s="18"/>
      <c r="J1991" s="18"/>
      <c r="K1991" s="18"/>
      <c r="L1991" s="18"/>
      <c r="M1991" s="18"/>
      <c r="N1991" s="18"/>
      <c r="O1991" s="18"/>
    </row>
    <row r="1992" spans="7:15" x14ac:dyDescent="0.2">
      <c r="G1992" s="18"/>
      <c r="H1992" s="18"/>
      <c r="I1992" s="18"/>
      <c r="J1992" s="18"/>
      <c r="K1992" s="18"/>
      <c r="L1992" s="18"/>
      <c r="M1992" s="18"/>
      <c r="N1992" s="18"/>
      <c r="O1992" s="18"/>
    </row>
    <row r="1993" spans="7:15" x14ac:dyDescent="0.2">
      <c r="G1993" s="18"/>
      <c r="H1993" s="18"/>
      <c r="I1993" s="18"/>
      <c r="J1993" s="18"/>
      <c r="K1993" s="18"/>
      <c r="L1993" s="18"/>
      <c r="M1993" s="18"/>
      <c r="N1993" s="18"/>
      <c r="O1993" s="18"/>
    </row>
    <row r="1994" spans="7:15" x14ac:dyDescent="0.2">
      <c r="G1994" s="18"/>
      <c r="H1994" s="18"/>
      <c r="I1994" s="18"/>
      <c r="J1994" s="18"/>
      <c r="K1994" s="18"/>
      <c r="L1994" s="18"/>
      <c r="M1994" s="18"/>
      <c r="N1994" s="18"/>
      <c r="O1994" s="18"/>
    </row>
    <row r="1995" spans="7:15" x14ac:dyDescent="0.2">
      <c r="G1995" s="18"/>
      <c r="H1995" s="18"/>
      <c r="I1995" s="18"/>
      <c r="J1995" s="18"/>
      <c r="K1995" s="18"/>
      <c r="L1995" s="18"/>
      <c r="M1995" s="18"/>
      <c r="N1995" s="18"/>
      <c r="O1995" s="18"/>
    </row>
    <row r="1996" spans="7:15" x14ac:dyDescent="0.2">
      <c r="G1996" s="18"/>
      <c r="H1996" s="18"/>
      <c r="I1996" s="18"/>
      <c r="J1996" s="18"/>
      <c r="K1996" s="18"/>
      <c r="L1996" s="18"/>
      <c r="M1996" s="18"/>
      <c r="N1996" s="18"/>
      <c r="O1996" s="18"/>
    </row>
    <row r="1997" spans="7:15" x14ac:dyDescent="0.2">
      <c r="G1997" s="18"/>
      <c r="H1997" s="18"/>
      <c r="I1997" s="18"/>
      <c r="J1997" s="18"/>
      <c r="K1997" s="18"/>
      <c r="L1997" s="18"/>
      <c r="M1997" s="18"/>
      <c r="N1997" s="18"/>
      <c r="O1997" s="18"/>
    </row>
    <row r="1998" spans="7:15" x14ac:dyDescent="0.2">
      <c r="G1998" s="18"/>
      <c r="H1998" s="18"/>
      <c r="I1998" s="18"/>
      <c r="J1998" s="18"/>
      <c r="K1998" s="18"/>
      <c r="L1998" s="18"/>
      <c r="M1998" s="18"/>
      <c r="N1998" s="18"/>
      <c r="O1998" s="18"/>
    </row>
    <row r="1999" spans="7:15" x14ac:dyDescent="0.2">
      <c r="G1999" s="18"/>
      <c r="H1999" s="18"/>
      <c r="I1999" s="18"/>
      <c r="J1999" s="18"/>
      <c r="K1999" s="18"/>
      <c r="L1999" s="18"/>
      <c r="M1999" s="18"/>
      <c r="N1999" s="18"/>
      <c r="O1999" s="18"/>
    </row>
    <row r="2000" spans="7:15" x14ac:dyDescent="0.2">
      <c r="G2000" s="18"/>
      <c r="H2000" s="18"/>
      <c r="I2000" s="18"/>
      <c r="J2000" s="18"/>
      <c r="K2000" s="18"/>
      <c r="L2000" s="18"/>
      <c r="M2000" s="18"/>
      <c r="N2000" s="18"/>
      <c r="O2000" s="18"/>
    </row>
    <row r="2001" spans="7:15" x14ac:dyDescent="0.2">
      <c r="G2001" s="18"/>
      <c r="H2001" s="18"/>
      <c r="I2001" s="18"/>
      <c r="J2001" s="18"/>
      <c r="K2001" s="18"/>
      <c r="L2001" s="18"/>
      <c r="M2001" s="18"/>
      <c r="N2001" s="18"/>
      <c r="O2001" s="18"/>
    </row>
    <row r="2002" spans="7:15" x14ac:dyDescent="0.2">
      <c r="G2002" s="18"/>
      <c r="H2002" s="18"/>
      <c r="I2002" s="18"/>
      <c r="J2002" s="18"/>
      <c r="K2002" s="18"/>
      <c r="L2002" s="18"/>
      <c r="M2002" s="18"/>
      <c r="N2002" s="18"/>
      <c r="O2002" s="18"/>
    </row>
    <row r="2003" spans="7:15" x14ac:dyDescent="0.2">
      <c r="G2003" s="18"/>
      <c r="H2003" s="18"/>
      <c r="I2003" s="18"/>
      <c r="J2003" s="18"/>
      <c r="K2003" s="18"/>
      <c r="L2003" s="18"/>
      <c r="M2003" s="18"/>
      <c r="N2003" s="18"/>
      <c r="O2003" s="18"/>
    </row>
  </sheetData>
  <conditionalFormatting sqref="A15:C15">
    <cfRule type="expression" dxfId="9" priority="10">
      <formula>$B$15&lt;$B$14</formula>
    </cfRule>
  </conditionalFormatting>
  <conditionalFormatting sqref="A24:C24">
    <cfRule type="expression" dxfId="8" priority="9">
      <formula>$B$24&lt;$B$23</formula>
    </cfRule>
  </conditionalFormatting>
  <conditionalFormatting sqref="A23:C23">
    <cfRule type="expression" dxfId="7" priority="8">
      <formula>$B$23&lt;$B$22</formula>
    </cfRule>
  </conditionalFormatting>
  <conditionalFormatting sqref="A22:C22">
    <cfRule type="expression" dxfId="6" priority="7">
      <formula>$B$22&lt;$B$21</formula>
    </cfRule>
  </conditionalFormatting>
  <conditionalFormatting sqref="A21:C21">
    <cfRule type="expression" dxfId="5" priority="6">
      <formula>$B$21&lt;$B$20</formula>
    </cfRule>
  </conditionalFormatting>
  <conditionalFormatting sqref="A20:C20">
    <cfRule type="expression" dxfId="4" priority="5">
      <formula>$B$20&lt;$B$19</formula>
    </cfRule>
  </conditionalFormatting>
  <conditionalFormatting sqref="A19:C19">
    <cfRule type="expression" dxfId="3" priority="4">
      <formula>$B$19&lt;$B$18</formula>
    </cfRule>
  </conditionalFormatting>
  <conditionalFormatting sqref="A18:C18">
    <cfRule type="expression" dxfId="2" priority="3">
      <formula>$B$18&lt;$B$17</formula>
    </cfRule>
  </conditionalFormatting>
  <conditionalFormatting sqref="A17:C17">
    <cfRule type="expression" dxfId="1" priority="2">
      <formula>$B$17&lt;$B$16</formula>
    </cfRule>
  </conditionalFormatting>
  <conditionalFormatting sqref="A16:C16">
    <cfRule type="expression" dxfId="0" priority="1">
      <formula>$B$16&lt;$B$15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2:B12"/>
  <sheetViews>
    <sheetView workbookViewId="0">
      <selection activeCell="B5" sqref="B5"/>
    </sheetView>
  </sheetViews>
  <sheetFormatPr defaultRowHeight="12.75" x14ac:dyDescent="0.2"/>
  <sheetData>
    <row r="2" spans="1:2" x14ac:dyDescent="0.2">
      <c r="B2" s="18" t="s">
        <v>20</v>
      </c>
    </row>
    <row r="4" spans="1:2" x14ac:dyDescent="0.2">
      <c r="A4" t="s">
        <v>12</v>
      </c>
      <c r="B4" s="18" t="s">
        <v>23</v>
      </c>
    </row>
    <row r="5" spans="1:2" x14ac:dyDescent="0.2">
      <c r="A5" t="s">
        <v>13</v>
      </c>
      <c r="B5" s="18" t="s">
        <v>22</v>
      </c>
    </row>
    <row r="9" spans="1:2" x14ac:dyDescent="0.2">
      <c r="B9" t="s">
        <v>26</v>
      </c>
    </row>
    <row r="10" spans="1:2" x14ac:dyDescent="0.2">
      <c r="B10" t="s">
        <v>24</v>
      </c>
    </row>
    <row r="11" spans="1:2" x14ac:dyDescent="0.2">
      <c r="B11" t="s">
        <v>25</v>
      </c>
    </row>
    <row r="12" spans="1:2" x14ac:dyDescent="0.2">
      <c r="B12" t="s">
        <v>27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8</vt:i4>
      </vt:variant>
    </vt:vector>
  </HeadingPairs>
  <TitlesOfParts>
    <vt:vector size="11" baseType="lpstr">
      <vt:lpstr>VIX</vt:lpstr>
      <vt:lpstr>Sheet2</vt:lpstr>
      <vt:lpstr>Sheet3</vt:lpstr>
      <vt:lpstr>Calc_Time</vt:lpstr>
      <vt:lpstr>Contract</vt:lpstr>
      <vt:lpstr>Contract2</vt:lpstr>
      <vt:lpstr>RiskFree</vt:lpstr>
      <vt:lpstr>RiskFree1</vt:lpstr>
      <vt:lpstr>SpotSPX</vt:lpstr>
      <vt:lpstr>Threshold</vt:lpstr>
      <vt:lpstr>Time</vt:lpstr>
    </vt:vector>
  </TitlesOfParts>
  <Company>McGill University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frouah</dc:creator>
  <cp:lastModifiedBy>tlack</cp:lastModifiedBy>
  <cp:lastPrinted>2015-04-16T14:13:18Z</cp:lastPrinted>
  <dcterms:created xsi:type="dcterms:W3CDTF">2006-07-06T18:10:09Z</dcterms:created>
  <dcterms:modified xsi:type="dcterms:W3CDTF">2017-10-11T18:13:19Z</dcterms:modified>
</cp:coreProperties>
</file>